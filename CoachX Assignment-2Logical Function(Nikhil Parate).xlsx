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COACHX Business Analyst\EXCEL\Excel assignment\"/>
    </mc:Choice>
  </mc:AlternateContent>
  <xr:revisionPtr revIDLastSave="0" documentId="13_ncr:1_{52E7189B-5D6A-48C5-A001-A9BB5D84392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blem Statement" sheetId="1" r:id="rId1"/>
    <sheet name="Logical" sheetId="2" r:id="rId2"/>
  </sheets>
  <calcPr calcId="191029"/>
  <extLs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Q4" i="2" l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5" i="2"/>
  <c r="T6" i="2"/>
  <c r="T7" i="2"/>
  <c r="T8" i="2"/>
  <c r="T9" i="2"/>
  <c r="T10" i="2"/>
  <c r="T11" i="2"/>
  <c r="T12" i="2"/>
  <c r="T13" i="2"/>
  <c r="T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4" i="2"/>
</calcChain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<sst xmlns="http://schemas.openxmlformats.org/spreadsheetml/2006/main" count="1805" uniqueCount="721">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</sst>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1" fontId="8" fillId="0" borderId="1" xfId="0" applyNumberFormat="1" applyFont="1" applyBorder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1" fontId="0" fillId="0" borderId="0" xfId="0" applyNumberFormat="1"/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1" fontId="0" fillId="0" borderId="8" xfId="0" applyNumberFormat="1" applyBorder="1"/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B10" sqref="B10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26" t="s">
        <v>0</v>
      </c>
      <c r="B1" s="27"/>
      <c r="C1" s="27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19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H1" zoomScale="80" zoomScaleNormal="80" workbookViewId="0">
      <selection activeCell="V4" sqref="V4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9" width="14.6640625" customWidth="1"/>
    <col min="20" max="20" width="19" style="22" customWidth="1"/>
    <col min="21" max="21" width="19" customWidth="1"/>
    <col min="22" max="22" width="14.6640625" customWidth="1"/>
    <col min="23" max="33" width="8.6640625" customWidth="1"/>
  </cols>
  <sheetData>
    <row r="1" spans="1:33" ht="36" customHeight="1" x14ac:dyDescent="0.3">
      <c r="A1" s="28" t="s">
        <v>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12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 x14ac:dyDescent="0.3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15" t="str">
        <f>IF(N4="Very poor","Terminate",N4)</f>
        <v>Terminate</v>
      </c>
      <c r="R4" s="18">
        <f>IF(N4="Very Good",P4*5%,P4)</f>
        <v>82746.990000000005</v>
      </c>
      <c r="S4" s="23" t="str">
        <f>IF(P4&lt;40000,"Low",IF(AND(P4&gt;40000,P4&lt;=80000),"Mid",IF(P4&gt;80000,"High",P4)))</f>
        <v>High</v>
      </c>
      <c r="T4" s="25" t="str">
        <f>IF(AND(L4="HR",I4="MUMBAI"),"Work From Home",L4)</f>
        <v>FINANCE</v>
      </c>
      <c r="U4" s="24" t="str">
        <f>IF(OR(L4="HR",L4="FINANCE"),"Work From Home",L4)</f>
        <v>Work From Home</v>
      </c>
      <c r="V4" s="20" t="str">
        <f>IF(N4="Very Good",P4+P4*15%,IF(N4="Good",P4+P4*12%,IF(N4="Average",P4+P4*10%,"Not Applicable")))</f>
        <v>Not Applicable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15" t="str">
        <f t="shared" ref="Q5:Q68" si="0">IF(N5="Very Poor","Terminate",N5)</f>
        <v>Good</v>
      </c>
      <c r="R5" s="18">
        <f t="shared" ref="R5:R68" si="1">IF(N5="Very Good",P5*5%,P5)</f>
        <v>36895.949999999997</v>
      </c>
      <c r="S5" s="23" t="str">
        <f t="shared" ref="S5:S68" si="2">IF(P5&lt;40000,"Low",IF(AND(P5&gt;40000,P5&lt;=80000),"Mid",IF(P5&gt;80000,"High",P5)))</f>
        <v>Low</v>
      </c>
      <c r="T5" s="25" t="str">
        <f t="shared" ref="T5:T68" si="3">IF(AND(L5="HR",I5="MUMBAI"),"Work From Home",L5)</f>
        <v>FINANCE</v>
      </c>
      <c r="U5" s="24" t="str">
        <f t="shared" ref="U5:U68" si="4">IF(OR(L5="HR",L5="FINANCE"),"Work From Home",L5)</f>
        <v>Work From Home</v>
      </c>
      <c r="V5" s="20">
        <f t="shared" ref="V5:V68" si="5">IF(N5="Very Good",P5+P5*15%,IF(N5="Good",P5+P5*12%,IF(N5="Average",P5+P5*10%,"Not Applicable")))</f>
        <v>41323.463999999993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15" t="str">
        <f t="shared" si="0"/>
        <v>Terminate</v>
      </c>
      <c r="R6" s="18">
        <f t="shared" si="1"/>
        <v>141555.6</v>
      </c>
      <c r="S6" s="23" t="str">
        <f t="shared" si="2"/>
        <v>High</v>
      </c>
      <c r="T6" s="25" t="str">
        <f t="shared" si="3"/>
        <v>Work From Home</v>
      </c>
      <c r="U6" s="24" t="str">
        <f t="shared" si="4"/>
        <v>Work From Home</v>
      </c>
      <c r="V6" s="20" t="str">
        <f t="shared" si="5"/>
        <v>Not Applicable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15" t="str">
        <f t="shared" si="0"/>
        <v>Good</v>
      </c>
      <c r="R7" s="18">
        <f t="shared" si="1"/>
        <v>91631.7</v>
      </c>
      <c r="S7" s="23" t="str">
        <f t="shared" si="2"/>
        <v>High</v>
      </c>
      <c r="T7" s="25" t="str">
        <f t="shared" si="3"/>
        <v>FINANCE</v>
      </c>
      <c r="U7" s="24" t="str">
        <f t="shared" si="4"/>
        <v>Work From Home</v>
      </c>
      <c r="V7" s="20">
        <f t="shared" si="5"/>
        <v>102627.504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15" t="s">
        <v>84</v>
      </c>
      <c r="O8" s="15" t="s">
        <v>58</v>
      </c>
      <c r="P8" s="17">
        <v>25710.120000000003</v>
      </c>
      <c r="Q8" s="15" t="str">
        <f t="shared" si="0"/>
        <v>Not Rated</v>
      </c>
      <c r="R8" s="18">
        <f t="shared" si="1"/>
        <v>25710.120000000003</v>
      </c>
      <c r="S8" s="23" t="str">
        <f t="shared" si="2"/>
        <v>Low</v>
      </c>
      <c r="T8" s="25" t="str">
        <f t="shared" si="3"/>
        <v>PRODUCTION</v>
      </c>
      <c r="U8" s="24" t="str">
        <f t="shared" si="4"/>
        <v>PRODUCTION</v>
      </c>
      <c r="V8" s="20" t="str">
        <f t="shared" si="5"/>
        <v>Not Applicable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15" t="str">
        <f t="shared" si="0"/>
        <v>Average</v>
      </c>
      <c r="R9" s="18">
        <f t="shared" si="1"/>
        <v>116361.09</v>
      </c>
      <c r="S9" s="23" t="str">
        <f t="shared" si="2"/>
        <v>High</v>
      </c>
      <c r="T9" s="25" t="str">
        <f t="shared" si="3"/>
        <v>FINANCE</v>
      </c>
      <c r="U9" s="24" t="str">
        <f t="shared" si="4"/>
        <v>Work From Home</v>
      </c>
      <c r="V9" s="20">
        <f t="shared" si="5"/>
        <v>127997.19899999999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15" t="str">
        <f t="shared" si="0"/>
        <v>Terminate</v>
      </c>
      <c r="R10" s="18">
        <f t="shared" si="1"/>
        <v>90048.15</v>
      </c>
      <c r="S10" s="23" t="str">
        <f t="shared" si="2"/>
        <v>High</v>
      </c>
      <c r="T10" s="25" t="str">
        <f t="shared" si="3"/>
        <v>MARKETING</v>
      </c>
      <c r="U10" s="24" t="str">
        <f t="shared" si="4"/>
        <v>MARKETING</v>
      </c>
      <c r="V10" s="20" t="str">
        <f t="shared" si="5"/>
        <v>Not Applicable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15" t="str">
        <f t="shared" si="0"/>
        <v>Good</v>
      </c>
      <c r="R11" s="18">
        <f t="shared" si="1"/>
        <v>97552.799999999988</v>
      </c>
      <c r="S11" s="23" t="str">
        <f t="shared" si="2"/>
        <v>High</v>
      </c>
      <c r="T11" s="25" t="str">
        <f t="shared" si="3"/>
        <v>ADMIN</v>
      </c>
      <c r="U11" s="24" t="str">
        <f t="shared" si="4"/>
        <v>ADMIN</v>
      </c>
      <c r="V11" s="20">
        <f t="shared" si="5"/>
        <v>109259.13599999998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15" t="str">
        <f t="shared" si="0"/>
        <v>Poor</v>
      </c>
      <c r="R12" s="18">
        <f t="shared" si="1"/>
        <v>51597.719999999994</v>
      </c>
      <c r="S12" s="23" t="str">
        <f t="shared" si="2"/>
        <v>Mid</v>
      </c>
      <c r="T12" s="25" t="str">
        <f t="shared" si="3"/>
        <v>ADMIN</v>
      </c>
      <c r="U12" s="24" t="str">
        <f t="shared" si="4"/>
        <v>ADMIN</v>
      </c>
      <c r="V12" s="20" t="str">
        <f t="shared" si="5"/>
        <v>Not Applicable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15" t="str">
        <f t="shared" si="0"/>
        <v>Terminate</v>
      </c>
      <c r="R13" s="18">
        <f t="shared" si="1"/>
        <v>105103.35</v>
      </c>
      <c r="S13" s="23" t="str">
        <f t="shared" si="2"/>
        <v>High</v>
      </c>
      <c r="T13" s="25" t="str">
        <f t="shared" si="3"/>
        <v>Work From Home</v>
      </c>
      <c r="U13" s="24" t="str">
        <f t="shared" si="4"/>
        <v>Work From Home</v>
      </c>
      <c r="V13" s="20" t="str">
        <f t="shared" si="5"/>
        <v>Not Applicable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15" t="str">
        <f t="shared" si="0"/>
        <v>Average</v>
      </c>
      <c r="R14" s="18">
        <f t="shared" si="1"/>
        <v>147340.53</v>
      </c>
      <c r="S14" s="23" t="str">
        <f t="shared" si="2"/>
        <v>High</v>
      </c>
      <c r="T14" s="25" t="str">
        <f t="shared" si="3"/>
        <v>MARKETING</v>
      </c>
      <c r="U14" s="24" t="str">
        <f t="shared" si="4"/>
        <v>MARKETING</v>
      </c>
      <c r="V14" s="20">
        <f t="shared" si="5"/>
        <v>162074.58299999998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15" t="str">
        <f t="shared" si="0"/>
        <v>Terminate</v>
      </c>
      <c r="R15" s="18">
        <f t="shared" si="1"/>
        <v>109783.62000000001</v>
      </c>
      <c r="S15" s="23" t="str">
        <f t="shared" si="2"/>
        <v>High</v>
      </c>
      <c r="T15" s="25" t="str">
        <f t="shared" si="3"/>
        <v>PRODUCTION</v>
      </c>
      <c r="U15" s="24" t="str">
        <f t="shared" si="4"/>
        <v>PRODUCTION</v>
      </c>
      <c r="V15" s="20" t="str">
        <f t="shared" si="5"/>
        <v>Not Applicable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15" t="str">
        <f t="shared" si="0"/>
        <v>Terminate</v>
      </c>
      <c r="R16" s="18">
        <f t="shared" si="1"/>
        <v>132026.76</v>
      </c>
      <c r="S16" s="23" t="str">
        <f t="shared" si="2"/>
        <v>High</v>
      </c>
      <c r="T16" s="25" t="str">
        <f t="shared" si="3"/>
        <v>MARKETING</v>
      </c>
      <c r="U16" s="24" t="str">
        <f t="shared" si="4"/>
        <v>MARKETING</v>
      </c>
      <c r="V16" s="20" t="str">
        <f t="shared" si="5"/>
        <v>Not Applicable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15" t="str">
        <f t="shared" si="0"/>
        <v>Terminate</v>
      </c>
      <c r="R17" s="18">
        <f t="shared" si="1"/>
        <v>96391.53</v>
      </c>
      <c r="S17" s="23" t="str">
        <f t="shared" si="2"/>
        <v>High</v>
      </c>
      <c r="T17" s="25" t="str">
        <f t="shared" si="3"/>
        <v>ADMIN</v>
      </c>
      <c r="U17" s="24" t="str">
        <f t="shared" si="4"/>
        <v>ADMIN</v>
      </c>
      <c r="V17" s="20" t="str">
        <f t="shared" si="5"/>
        <v>Not Applicable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15" t="str">
        <f t="shared" si="0"/>
        <v>Good</v>
      </c>
      <c r="R18" s="18">
        <f t="shared" si="1"/>
        <v>105615.9</v>
      </c>
      <c r="S18" s="23" t="str">
        <f t="shared" si="2"/>
        <v>High</v>
      </c>
      <c r="T18" s="25" t="str">
        <f t="shared" si="3"/>
        <v>PRODUCTION</v>
      </c>
      <c r="U18" s="24" t="str">
        <f t="shared" si="4"/>
        <v>PRODUCTION</v>
      </c>
      <c r="V18" s="20">
        <f t="shared" si="5"/>
        <v>118289.80799999999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15" t="str">
        <f t="shared" si="0"/>
        <v>Very Good</v>
      </c>
      <c r="R19" s="18">
        <f t="shared" si="1"/>
        <v>5782.0995000000003</v>
      </c>
      <c r="S19" s="23" t="str">
        <f t="shared" si="2"/>
        <v>High</v>
      </c>
      <c r="T19" s="25" t="str">
        <f t="shared" si="3"/>
        <v>HR</v>
      </c>
      <c r="U19" s="24" t="str">
        <f t="shared" si="4"/>
        <v>Work From Home</v>
      </c>
      <c r="V19" s="20">
        <f t="shared" si="5"/>
        <v>132988.2885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15" t="str">
        <f t="shared" si="0"/>
        <v>Terminate</v>
      </c>
      <c r="R20" s="18">
        <f t="shared" si="1"/>
        <v>24798.240000000002</v>
      </c>
      <c r="S20" s="23" t="str">
        <f t="shared" si="2"/>
        <v>Low</v>
      </c>
      <c r="T20" s="25" t="str">
        <f t="shared" si="3"/>
        <v>ADMIN</v>
      </c>
      <c r="U20" s="24" t="str">
        <f t="shared" si="4"/>
        <v>ADMIN</v>
      </c>
      <c r="V20" s="20" t="str">
        <f t="shared" si="5"/>
        <v>Not Applicable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15" t="str">
        <f t="shared" si="0"/>
        <v>Good</v>
      </c>
      <c r="R21" s="18">
        <f t="shared" si="1"/>
        <v>142049.79</v>
      </c>
      <c r="S21" s="23" t="str">
        <f t="shared" si="2"/>
        <v>High</v>
      </c>
      <c r="T21" s="25" t="str">
        <f t="shared" si="3"/>
        <v>FINANCE</v>
      </c>
      <c r="U21" s="24" t="str">
        <f t="shared" si="4"/>
        <v>Work From Home</v>
      </c>
      <c r="V21" s="20">
        <f t="shared" si="5"/>
        <v>159095.7648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15" t="str">
        <f t="shared" si="0"/>
        <v>Poor</v>
      </c>
      <c r="R22" s="18">
        <f t="shared" si="1"/>
        <v>140753.88</v>
      </c>
      <c r="S22" s="23" t="str">
        <f t="shared" si="2"/>
        <v>High</v>
      </c>
      <c r="T22" s="25" t="str">
        <f t="shared" si="3"/>
        <v>PRODUCTION</v>
      </c>
      <c r="U22" s="24" t="str">
        <f t="shared" si="4"/>
        <v>PRODUCTION</v>
      </c>
      <c r="V22" s="20" t="str">
        <f t="shared" si="5"/>
        <v>Not Applicable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15" t="str">
        <f t="shared" si="0"/>
        <v>Not Rated</v>
      </c>
      <c r="R23" s="18">
        <f t="shared" si="1"/>
        <v>101272.23000000001</v>
      </c>
      <c r="S23" s="23" t="str">
        <f t="shared" si="2"/>
        <v>High</v>
      </c>
      <c r="T23" s="25" t="str">
        <f t="shared" si="3"/>
        <v>PRODUCTION</v>
      </c>
      <c r="U23" s="24" t="str">
        <f t="shared" si="4"/>
        <v>PRODUCTION</v>
      </c>
      <c r="V23" s="20" t="str">
        <f t="shared" si="5"/>
        <v>Not Applicable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15" t="str">
        <f t="shared" si="0"/>
        <v>Terminate</v>
      </c>
      <c r="R24" s="18">
        <f t="shared" si="1"/>
        <v>134451.81</v>
      </c>
      <c r="S24" s="23" t="str">
        <f t="shared" si="2"/>
        <v>High</v>
      </c>
      <c r="T24" s="25" t="str">
        <f t="shared" si="3"/>
        <v>PRODUCTION</v>
      </c>
      <c r="U24" s="24" t="str">
        <f t="shared" si="4"/>
        <v>PRODUCTION</v>
      </c>
      <c r="V24" s="20" t="str">
        <f t="shared" si="5"/>
        <v>Not Applicable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15" t="str">
        <f t="shared" si="0"/>
        <v>Good</v>
      </c>
      <c r="R25" s="18">
        <f t="shared" si="1"/>
        <v>20358.18</v>
      </c>
      <c r="S25" s="15" t="str">
        <f t="shared" si="2"/>
        <v>Low</v>
      </c>
      <c r="T25" s="25" t="str">
        <f t="shared" si="3"/>
        <v>ADMIN</v>
      </c>
      <c r="U25" s="24" t="str">
        <f t="shared" si="4"/>
        <v>ADMIN</v>
      </c>
      <c r="V25" s="20">
        <f t="shared" si="5"/>
        <v>22801.161599999999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15" t="str">
        <f t="shared" si="0"/>
        <v>Poor</v>
      </c>
      <c r="R26" s="18">
        <f t="shared" si="1"/>
        <v>22795.47</v>
      </c>
      <c r="S26" s="15" t="str">
        <f t="shared" si="2"/>
        <v>Low</v>
      </c>
      <c r="T26" s="25" t="str">
        <f t="shared" si="3"/>
        <v>MARKETING</v>
      </c>
      <c r="U26" s="24" t="str">
        <f t="shared" si="4"/>
        <v>MARKETING</v>
      </c>
      <c r="V26" s="20" t="str">
        <f t="shared" si="5"/>
        <v>Not Applicable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15" t="str">
        <f t="shared" si="0"/>
        <v>Good</v>
      </c>
      <c r="R27" s="18">
        <f t="shared" si="1"/>
        <v>24128.1</v>
      </c>
      <c r="S27" s="15" t="str">
        <f t="shared" si="2"/>
        <v>Low</v>
      </c>
      <c r="T27" s="25" t="str">
        <f t="shared" si="3"/>
        <v>ADMIN</v>
      </c>
      <c r="U27" s="24" t="str">
        <f t="shared" si="4"/>
        <v>ADMIN</v>
      </c>
      <c r="V27" s="20">
        <f t="shared" si="5"/>
        <v>27023.471999999998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15" t="str">
        <f t="shared" si="0"/>
        <v>Not Rated</v>
      </c>
      <c r="R28" s="18">
        <f t="shared" si="1"/>
        <v>35800.47</v>
      </c>
      <c r="S28" s="15" t="str">
        <f t="shared" si="2"/>
        <v>Low</v>
      </c>
      <c r="T28" s="25" t="str">
        <f t="shared" si="3"/>
        <v>ADMIN</v>
      </c>
      <c r="U28" s="24" t="str">
        <f t="shared" si="4"/>
        <v>ADMIN</v>
      </c>
      <c r="V28" s="20" t="str">
        <f t="shared" si="5"/>
        <v>Not Applicable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15" t="str">
        <f t="shared" si="0"/>
        <v>Poor</v>
      </c>
      <c r="R29" s="18">
        <f t="shared" si="1"/>
        <v>67127.22</v>
      </c>
      <c r="S29" s="15" t="str">
        <f t="shared" si="2"/>
        <v>Mid</v>
      </c>
      <c r="T29" s="25" t="str">
        <f t="shared" si="3"/>
        <v>ADMIN</v>
      </c>
      <c r="U29" s="24" t="str">
        <f t="shared" si="4"/>
        <v>ADMIN</v>
      </c>
      <c r="V29" s="20" t="str">
        <f t="shared" si="5"/>
        <v>Not Applicable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15" t="str">
        <f t="shared" si="0"/>
        <v>Average</v>
      </c>
      <c r="R30" s="18">
        <f t="shared" si="1"/>
        <v>85392.360000000015</v>
      </c>
      <c r="S30" s="15" t="str">
        <f t="shared" si="2"/>
        <v>High</v>
      </c>
      <c r="T30" s="25" t="str">
        <f t="shared" si="3"/>
        <v>HR</v>
      </c>
      <c r="U30" s="24" t="str">
        <f t="shared" si="4"/>
        <v>Work From Home</v>
      </c>
      <c r="V30" s="20">
        <f t="shared" si="5"/>
        <v>93931.59600000002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15" t="str">
        <f t="shared" si="0"/>
        <v>Poor</v>
      </c>
      <c r="R31" s="18">
        <f t="shared" si="1"/>
        <v>77160.959999999992</v>
      </c>
      <c r="S31" s="15" t="str">
        <f t="shared" si="2"/>
        <v>Mid</v>
      </c>
      <c r="T31" s="25" t="str">
        <f t="shared" si="3"/>
        <v>Work From Home</v>
      </c>
      <c r="U31" s="24" t="str">
        <f t="shared" si="4"/>
        <v>Work From Home</v>
      </c>
      <c r="V31" s="20" t="str">
        <f t="shared" si="5"/>
        <v>Not Applicable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15" t="str">
        <f t="shared" si="0"/>
        <v>Average</v>
      </c>
      <c r="R32" s="18">
        <f t="shared" si="1"/>
        <v>96504.75</v>
      </c>
      <c r="S32" s="15" t="str">
        <f t="shared" si="2"/>
        <v>High</v>
      </c>
      <c r="T32" s="25" t="str">
        <f t="shared" si="3"/>
        <v>MARKETING</v>
      </c>
      <c r="U32" s="24" t="str">
        <f t="shared" si="4"/>
        <v>MARKETING</v>
      </c>
      <c r="V32" s="20">
        <f t="shared" si="5"/>
        <v>106155.22500000001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15" t="str">
        <f t="shared" si="0"/>
        <v>Very Good</v>
      </c>
      <c r="R33" s="18">
        <f t="shared" si="1"/>
        <v>1895.9760000000003</v>
      </c>
      <c r="S33" s="15" t="str">
        <f t="shared" si="2"/>
        <v>Low</v>
      </c>
      <c r="T33" s="25" t="str">
        <f t="shared" si="3"/>
        <v>HR</v>
      </c>
      <c r="U33" s="24" t="str">
        <f t="shared" si="4"/>
        <v>Work From Home</v>
      </c>
      <c r="V33" s="20">
        <f t="shared" si="5"/>
        <v>43607.448000000004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15" t="str">
        <f t="shared" si="0"/>
        <v>Terminate</v>
      </c>
      <c r="R34" s="18">
        <f t="shared" si="1"/>
        <v>113983.47000000002</v>
      </c>
      <c r="S34" s="15" t="str">
        <f t="shared" si="2"/>
        <v>High</v>
      </c>
      <c r="T34" s="25" t="str">
        <f t="shared" si="3"/>
        <v>MARKETING</v>
      </c>
      <c r="U34" s="24" t="str">
        <f t="shared" si="4"/>
        <v>MARKETING</v>
      </c>
      <c r="V34" s="20" t="str">
        <f t="shared" si="5"/>
        <v>Not Applicable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15" t="str">
        <f t="shared" si="0"/>
        <v>Good</v>
      </c>
      <c r="R35" s="18">
        <f t="shared" si="1"/>
        <v>62928.899999999994</v>
      </c>
      <c r="S35" s="15" t="str">
        <f t="shared" si="2"/>
        <v>Mid</v>
      </c>
      <c r="T35" s="25" t="str">
        <f t="shared" si="3"/>
        <v>PRODUCTION</v>
      </c>
      <c r="U35" s="24" t="str">
        <f t="shared" si="4"/>
        <v>PRODUCTION</v>
      </c>
      <c r="V35" s="20">
        <f t="shared" si="5"/>
        <v>70480.367999999988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17" t="s">
        <v>225</v>
      </c>
      <c r="Q36" s="15" t="str">
        <f t="shared" si="0"/>
        <v>Good</v>
      </c>
      <c r="R36" s="18" t="str">
        <f t="shared" si="1"/>
        <v/>
      </c>
      <c r="S36" s="15" t="str">
        <f t="shared" si="2"/>
        <v>High</v>
      </c>
      <c r="T36" s="25" t="str">
        <f t="shared" si="3"/>
        <v>PRODUCTION</v>
      </c>
      <c r="U36" s="24" t="str">
        <f t="shared" si="4"/>
        <v>PRODUCTION</v>
      </c>
      <c r="V36" s="20" t="e">
        <f t="shared" si="5"/>
        <v>#VALUE!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15" t="str">
        <f t="shared" si="0"/>
        <v>Average</v>
      </c>
      <c r="R37" s="18">
        <f t="shared" si="1"/>
        <v>135857.88</v>
      </c>
      <c r="S37" s="15" t="str">
        <f t="shared" si="2"/>
        <v>High</v>
      </c>
      <c r="T37" s="25" t="str">
        <f t="shared" si="3"/>
        <v>HR</v>
      </c>
      <c r="U37" s="24" t="str">
        <f t="shared" si="4"/>
        <v>Work From Home</v>
      </c>
      <c r="V37" s="20">
        <f t="shared" si="5"/>
        <v>149443.66800000001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15" t="str">
        <f t="shared" si="0"/>
        <v>Very Good</v>
      </c>
      <c r="R38" s="18">
        <f t="shared" si="1"/>
        <v>7172.4105000000018</v>
      </c>
      <c r="S38" s="15" t="str">
        <f t="shared" si="2"/>
        <v>High</v>
      </c>
      <c r="T38" s="25" t="str">
        <f t="shared" si="3"/>
        <v>PRODUCTION</v>
      </c>
      <c r="U38" s="24" t="str">
        <f t="shared" si="4"/>
        <v>PRODUCTION</v>
      </c>
      <c r="V38" s="20">
        <f t="shared" si="5"/>
        <v>164965.44150000002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15" t="str">
        <f t="shared" si="0"/>
        <v>Poor</v>
      </c>
      <c r="R39" s="18">
        <f t="shared" si="1"/>
        <v>26964.720000000001</v>
      </c>
      <c r="S39" s="15" t="str">
        <f t="shared" si="2"/>
        <v>Low</v>
      </c>
      <c r="T39" s="25" t="str">
        <f t="shared" si="3"/>
        <v>HR</v>
      </c>
      <c r="U39" s="24" t="str">
        <f t="shared" si="4"/>
        <v>Work From Home</v>
      </c>
      <c r="V39" s="20" t="str">
        <f t="shared" si="5"/>
        <v>Not Applicable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15" t="str">
        <f t="shared" si="0"/>
        <v>Good</v>
      </c>
      <c r="R40" s="18">
        <f t="shared" si="1"/>
        <v>126960.93</v>
      </c>
      <c r="S40" s="15" t="str">
        <f t="shared" si="2"/>
        <v>High</v>
      </c>
      <c r="T40" s="25" t="str">
        <f t="shared" si="3"/>
        <v>FINANCE</v>
      </c>
      <c r="U40" s="24" t="str">
        <f t="shared" si="4"/>
        <v>Work From Home</v>
      </c>
      <c r="V40" s="20">
        <f t="shared" si="5"/>
        <v>142196.24159999998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15" t="str">
        <f t="shared" si="0"/>
        <v>Terminate</v>
      </c>
      <c r="R41" s="18">
        <f t="shared" si="1"/>
        <v>18499.23</v>
      </c>
      <c r="S41" s="15" t="str">
        <f t="shared" si="2"/>
        <v>Low</v>
      </c>
      <c r="T41" s="25" t="str">
        <f t="shared" si="3"/>
        <v>MARKETING</v>
      </c>
      <c r="U41" s="24" t="str">
        <f t="shared" si="4"/>
        <v>MARKETING</v>
      </c>
      <c r="V41" s="20" t="str">
        <f t="shared" si="5"/>
        <v>Not Applicable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15" t="str">
        <f t="shared" si="0"/>
        <v>Poor</v>
      </c>
      <c r="R42" s="18">
        <f t="shared" si="1"/>
        <v>77344.56</v>
      </c>
      <c r="S42" s="15" t="str">
        <f t="shared" si="2"/>
        <v>Mid</v>
      </c>
      <c r="T42" s="25" t="str">
        <f t="shared" si="3"/>
        <v>HR</v>
      </c>
      <c r="U42" s="24" t="str">
        <f t="shared" si="4"/>
        <v>Work From Home</v>
      </c>
      <c r="V42" s="20" t="str">
        <f t="shared" si="5"/>
        <v>Not Applicable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15" t="str">
        <f t="shared" si="0"/>
        <v>Good</v>
      </c>
      <c r="R43" s="18">
        <f t="shared" si="1"/>
        <v>140371.38</v>
      </c>
      <c r="S43" s="15" t="str">
        <f t="shared" si="2"/>
        <v>High</v>
      </c>
      <c r="T43" s="25" t="str">
        <f t="shared" si="3"/>
        <v>HR</v>
      </c>
      <c r="U43" s="24" t="str">
        <f t="shared" si="4"/>
        <v>Work From Home</v>
      </c>
      <c r="V43" s="20">
        <f t="shared" si="5"/>
        <v>157215.94560000001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15" t="str">
        <f t="shared" si="0"/>
        <v>Good</v>
      </c>
      <c r="R44" s="18">
        <f t="shared" si="1"/>
        <v>34740.18</v>
      </c>
      <c r="S44" s="15" t="str">
        <f t="shared" si="2"/>
        <v>Low</v>
      </c>
      <c r="T44" s="25" t="str">
        <f t="shared" si="3"/>
        <v>ADMIN</v>
      </c>
      <c r="U44" s="24" t="str">
        <f t="shared" si="4"/>
        <v>ADMIN</v>
      </c>
      <c r="V44" s="20">
        <f t="shared" si="5"/>
        <v>38909.001600000003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15" t="str">
        <f t="shared" si="0"/>
        <v>Terminate</v>
      </c>
      <c r="R45" s="18">
        <f t="shared" si="1"/>
        <v>110368.08000000002</v>
      </c>
      <c r="S45" s="15" t="str">
        <f t="shared" si="2"/>
        <v>High</v>
      </c>
      <c r="T45" s="25" t="str">
        <f t="shared" si="3"/>
        <v>ADMIN</v>
      </c>
      <c r="U45" s="24" t="str">
        <f t="shared" si="4"/>
        <v>ADMIN</v>
      </c>
      <c r="V45" s="20" t="str">
        <f t="shared" si="5"/>
        <v>Not Applicable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15" t="str">
        <f t="shared" si="0"/>
        <v>Poor</v>
      </c>
      <c r="R46" s="18">
        <f t="shared" si="1"/>
        <v>43725.87</v>
      </c>
      <c r="S46" s="15" t="str">
        <f t="shared" si="2"/>
        <v>Mid</v>
      </c>
      <c r="T46" s="25" t="str">
        <f t="shared" si="3"/>
        <v>HR</v>
      </c>
      <c r="U46" s="24" t="str">
        <f t="shared" si="4"/>
        <v>Work From Home</v>
      </c>
      <c r="V46" s="20" t="str">
        <f t="shared" si="5"/>
        <v>Not Applicable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15" t="str">
        <f t="shared" si="0"/>
        <v>Poor</v>
      </c>
      <c r="R47" s="18">
        <f t="shared" si="1"/>
        <v>144285.12</v>
      </c>
      <c r="S47" s="15" t="str">
        <f t="shared" si="2"/>
        <v>High</v>
      </c>
      <c r="T47" s="25" t="str">
        <f t="shared" si="3"/>
        <v>PRODUCTION</v>
      </c>
      <c r="U47" s="24" t="str">
        <f t="shared" si="4"/>
        <v>PRODUCTION</v>
      </c>
      <c r="V47" s="20" t="str">
        <f t="shared" si="5"/>
        <v>Not Applicable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15" t="str">
        <f t="shared" si="0"/>
        <v>Very Good</v>
      </c>
      <c r="R48" s="18">
        <f t="shared" si="1"/>
        <v>4443.8085000000001</v>
      </c>
      <c r="S48" s="15" t="str">
        <f t="shared" si="2"/>
        <v>High</v>
      </c>
      <c r="T48" s="25" t="str">
        <f t="shared" si="3"/>
        <v>MARKETING</v>
      </c>
      <c r="U48" s="24" t="str">
        <f t="shared" si="4"/>
        <v>MARKETING</v>
      </c>
      <c r="V48" s="20">
        <f t="shared" si="5"/>
        <v>102207.5955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15" t="str">
        <f t="shared" si="0"/>
        <v>Good</v>
      </c>
      <c r="R49" s="18">
        <f t="shared" si="1"/>
        <v>134584.91999999998</v>
      </c>
      <c r="S49" s="15" t="str">
        <f t="shared" si="2"/>
        <v>High</v>
      </c>
      <c r="T49" s="25" t="str">
        <f t="shared" si="3"/>
        <v>FINANCE</v>
      </c>
      <c r="U49" s="24" t="str">
        <f t="shared" si="4"/>
        <v>Work From Home</v>
      </c>
      <c r="V49" s="20">
        <f t="shared" si="5"/>
        <v>150735.11039999998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15" t="str">
        <f t="shared" si="0"/>
        <v>Very Good</v>
      </c>
      <c r="R50" s="18">
        <f t="shared" si="1"/>
        <v>5920.0290000000014</v>
      </c>
      <c r="S50" s="15" t="str">
        <f t="shared" si="2"/>
        <v>High</v>
      </c>
      <c r="T50" s="25" t="str">
        <f t="shared" si="3"/>
        <v>HR</v>
      </c>
      <c r="U50" s="24" t="str">
        <f t="shared" si="4"/>
        <v>Work From Home</v>
      </c>
      <c r="V50" s="20">
        <f t="shared" si="5"/>
        <v>136160.66700000002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15" t="str">
        <f t="shared" si="0"/>
        <v>Good</v>
      </c>
      <c r="R51" s="18">
        <f t="shared" si="1"/>
        <v>96673.049999999988</v>
      </c>
      <c r="S51" s="15" t="str">
        <f t="shared" si="2"/>
        <v>High</v>
      </c>
      <c r="T51" s="25" t="str">
        <f t="shared" si="3"/>
        <v>PRODUCTION</v>
      </c>
      <c r="U51" s="24" t="str">
        <f t="shared" si="4"/>
        <v>PRODUCTION</v>
      </c>
      <c r="V51" s="20">
        <f t="shared" si="5"/>
        <v>108273.81599999999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15" t="str">
        <f t="shared" si="0"/>
        <v>Good</v>
      </c>
      <c r="R52" s="18">
        <f t="shared" si="1"/>
        <v>92721.06</v>
      </c>
      <c r="S52" s="15" t="str">
        <f t="shared" si="2"/>
        <v>High</v>
      </c>
      <c r="T52" s="25" t="str">
        <f t="shared" si="3"/>
        <v>ADMIN</v>
      </c>
      <c r="U52" s="24" t="str">
        <f t="shared" si="4"/>
        <v>ADMIN</v>
      </c>
      <c r="V52" s="20">
        <f t="shared" si="5"/>
        <v>103847.58719999999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15" t="str">
        <f t="shared" si="0"/>
        <v>Terminate</v>
      </c>
      <c r="R53" s="18">
        <f t="shared" si="1"/>
        <v>32971.5</v>
      </c>
      <c r="S53" s="15" t="str">
        <f t="shared" si="2"/>
        <v>Low</v>
      </c>
      <c r="T53" s="25" t="str">
        <f t="shared" si="3"/>
        <v>Work From Home</v>
      </c>
      <c r="U53" s="24" t="str">
        <f t="shared" si="4"/>
        <v>Work From Home</v>
      </c>
      <c r="V53" s="20" t="str">
        <f t="shared" si="5"/>
        <v>Not Applicable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15" t="str">
        <f t="shared" si="0"/>
        <v>Not Rated</v>
      </c>
      <c r="R54" s="18">
        <f t="shared" si="1"/>
        <v>127999.79999999999</v>
      </c>
      <c r="S54" s="15" t="str">
        <f t="shared" si="2"/>
        <v>High</v>
      </c>
      <c r="T54" s="25" t="str">
        <f t="shared" si="3"/>
        <v>HR</v>
      </c>
      <c r="U54" s="24" t="str">
        <f t="shared" si="4"/>
        <v>Work From Home</v>
      </c>
      <c r="V54" s="20" t="str">
        <f t="shared" si="5"/>
        <v>Not Applicable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15" t="str">
        <f t="shared" si="0"/>
        <v>Very Good</v>
      </c>
      <c r="R55" s="18">
        <f t="shared" si="1"/>
        <v>3402.1080000000002</v>
      </c>
      <c r="S55" s="15" t="str">
        <f t="shared" si="2"/>
        <v>Mid</v>
      </c>
      <c r="T55" s="25" t="str">
        <f t="shared" si="3"/>
        <v>ADMIN</v>
      </c>
      <c r="U55" s="24" t="str">
        <f t="shared" si="4"/>
        <v>ADMIN</v>
      </c>
      <c r="V55" s="20">
        <f t="shared" si="5"/>
        <v>78248.483999999997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15" t="str">
        <f t="shared" si="0"/>
        <v>Average</v>
      </c>
      <c r="R56" s="18">
        <f t="shared" si="1"/>
        <v>32027.49</v>
      </c>
      <c r="S56" s="15" t="str">
        <f t="shared" si="2"/>
        <v>Low</v>
      </c>
      <c r="T56" s="25" t="str">
        <f t="shared" si="3"/>
        <v>PRODUCTION</v>
      </c>
      <c r="U56" s="24" t="str">
        <f t="shared" si="4"/>
        <v>PRODUCTION</v>
      </c>
      <c r="V56" s="20">
        <f t="shared" si="5"/>
        <v>35230.239000000001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15" t="str">
        <f t="shared" si="0"/>
        <v>Poor</v>
      </c>
      <c r="R57" s="18">
        <f t="shared" si="1"/>
        <v>113998.77</v>
      </c>
      <c r="S57" s="15" t="str">
        <f t="shared" si="2"/>
        <v>High</v>
      </c>
      <c r="T57" s="25" t="str">
        <f t="shared" si="3"/>
        <v>ADMIN</v>
      </c>
      <c r="U57" s="24" t="str">
        <f t="shared" si="4"/>
        <v>ADMIN</v>
      </c>
      <c r="V57" s="20" t="str">
        <f t="shared" si="5"/>
        <v>Not Applicable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15" t="str">
        <f t="shared" si="0"/>
        <v>Poor</v>
      </c>
      <c r="R58" s="18">
        <f t="shared" si="1"/>
        <v>88603.83</v>
      </c>
      <c r="S58" s="15" t="str">
        <f t="shared" si="2"/>
        <v>High</v>
      </c>
      <c r="T58" s="25" t="str">
        <f t="shared" si="3"/>
        <v>FINANCE</v>
      </c>
      <c r="U58" s="24" t="str">
        <f t="shared" si="4"/>
        <v>Work From Home</v>
      </c>
      <c r="V58" s="20" t="str">
        <f t="shared" si="5"/>
        <v>Not Applicable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15" t="str">
        <f t="shared" si="0"/>
        <v>Terminate</v>
      </c>
      <c r="R59" s="18">
        <f t="shared" si="1"/>
        <v>78724.62000000001</v>
      </c>
      <c r="S59" s="15" t="str">
        <f t="shared" si="2"/>
        <v>Mid</v>
      </c>
      <c r="T59" s="25" t="str">
        <f t="shared" si="3"/>
        <v>FINANCE</v>
      </c>
      <c r="U59" s="24" t="str">
        <f t="shared" si="4"/>
        <v>Work From Home</v>
      </c>
      <c r="V59" s="20" t="str">
        <f t="shared" si="5"/>
        <v>Not Applicable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15" t="str">
        <f t="shared" si="0"/>
        <v>Average</v>
      </c>
      <c r="R60" s="18">
        <f t="shared" si="1"/>
        <v>20962.530000000002</v>
      </c>
      <c r="S60" s="15" t="str">
        <f t="shared" si="2"/>
        <v>Low</v>
      </c>
      <c r="T60" s="25" t="str">
        <f t="shared" si="3"/>
        <v>MARKETING</v>
      </c>
      <c r="U60" s="24" t="str">
        <f t="shared" si="4"/>
        <v>MARKETING</v>
      </c>
      <c r="V60" s="20">
        <f t="shared" si="5"/>
        <v>23058.783000000003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15" t="str">
        <f t="shared" si="0"/>
        <v>Not Rated</v>
      </c>
      <c r="R61" s="18" t="str">
        <f t="shared" si="1"/>
        <v/>
      </c>
      <c r="S61" s="15" t="str">
        <f t="shared" si="2"/>
        <v>High</v>
      </c>
      <c r="T61" s="25" t="str">
        <f t="shared" si="3"/>
        <v>PRODUCTION</v>
      </c>
      <c r="U61" s="24" t="str">
        <f t="shared" si="4"/>
        <v>PRODUCTION</v>
      </c>
      <c r="V61" s="20" t="str">
        <f t="shared" si="5"/>
        <v>Not Applicable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15" t="str">
        <f t="shared" si="0"/>
        <v>Good</v>
      </c>
      <c r="R62" s="18" t="str">
        <f t="shared" si="1"/>
        <v/>
      </c>
      <c r="S62" s="15" t="str">
        <f t="shared" si="2"/>
        <v>High</v>
      </c>
      <c r="T62" s="25" t="str">
        <f t="shared" si="3"/>
        <v>ADMIN</v>
      </c>
      <c r="U62" s="24" t="str">
        <f t="shared" si="4"/>
        <v>ADMIN</v>
      </c>
      <c r="V62" s="20" t="e">
        <f t="shared" si="5"/>
        <v>#VALUE!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15" t="str">
        <f t="shared" si="0"/>
        <v>Average</v>
      </c>
      <c r="R63" s="18">
        <f t="shared" si="1"/>
        <v>98689.59</v>
      </c>
      <c r="S63" s="15" t="str">
        <f t="shared" si="2"/>
        <v>High</v>
      </c>
      <c r="T63" s="25" t="str">
        <f t="shared" si="3"/>
        <v>ADMIN</v>
      </c>
      <c r="U63" s="24" t="str">
        <f t="shared" si="4"/>
        <v>ADMIN</v>
      </c>
      <c r="V63" s="20">
        <f t="shared" si="5"/>
        <v>108558.549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15" t="str">
        <f t="shared" si="0"/>
        <v>Good</v>
      </c>
      <c r="R64" s="18">
        <f t="shared" si="1"/>
        <v>53813.16</v>
      </c>
      <c r="S64" s="15" t="str">
        <f t="shared" si="2"/>
        <v>Mid</v>
      </c>
      <c r="T64" s="25" t="str">
        <f t="shared" si="3"/>
        <v>MARKETING</v>
      </c>
      <c r="U64" s="24" t="str">
        <f t="shared" si="4"/>
        <v>MARKETING</v>
      </c>
      <c r="V64" s="20">
        <f t="shared" si="5"/>
        <v>60270.739200000004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15" t="str">
        <f t="shared" si="0"/>
        <v>Not Rated</v>
      </c>
      <c r="R65" s="18">
        <f t="shared" si="1"/>
        <v>126117.9</v>
      </c>
      <c r="S65" s="15" t="str">
        <f t="shared" si="2"/>
        <v>High</v>
      </c>
      <c r="T65" s="25" t="str">
        <f t="shared" si="3"/>
        <v>PRODUCTION</v>
      </c>
      <c r="U65" s="24" t="str">
        <f t="shared" si="4"/>
        <v>PRODUCTION</v>
      </c>
      <c r="V65" s="20" t="str">
        <f t="shared" si="5"/>
        <v>Not Applicable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15" t="str">
        <f t="shared" si="0"/>
        <v>Poor</v>
      </c>
      <c r="R66" s="18">
        <f t="shared" si="1"/>
        <v>15809.489999999998</v>
      </c>
      <c r="S66" s="15" t="str">
        <f t="shared" si="2"/>
        <v>Low</v>
      </c>
      <c r="T66" s="25" t="str">
        <f t="shared" si="3"/>
        <v>FINANCE</v>
      </c>
      <c r="U66" s="24" t="str">
        <f t="shared" si="4"/>
        <v>Work From Home</v>
      </c>
      <c r="V66" s="20" t="str">
        <f t="shared" si="5"/>
        <v>Not Applicable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15" t="str">
        <f t="shared" si="0"/>
        <v>Average</v>
      </c>
      <c r="R67" s="18">
        <f t="shared" si="1"/>
        <v>103363.74</v>
      </c>
      <c r="S67" s="15" t="str">
        <f t="shared" si="2"/>
        <v>High</v>
      </c>
      <c r="T67" s="25" t="str">
        <f t="shared" si="3"/>
        <v>PRODUCTION</v>
      </c>
      <c r="U67" s="24" t="str">
        <f t="shared" si="4"/>
        <v>PRODUCTION</v>
      </c>
      <c r="V67" s="20">
        <f t="shared" si="5"/>
        <v>113700.114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15" t="str">
        <f t="shared" si="0"/>
        <v>Good</v>
      </c>
      <c r="R68" s="18">
        <f t="shared" si="1"/>
        <v>99038.43</v>
      </c>
      <c r="S68" s="15" t="str">
        <f t="shared" si="2"/>
        <v>High</v>
      </c>
      <c r="T68" s="25" t="str">
        <f t="shared" si="3"/>
        <v>PRODUCTION</v>
      </c>
      <c r="U68" s="24" t="str">
        <f t="shared" si="4"/>
        <v>PRODUCTION</v>
      </c>
      <c r="V68" s="20">
        <f t="shared" si="5"/>
        <v>110923.0416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15" t="str">
        <f t="shared" ref="Q69:Q132" si="6">IF(N69="Very Poor","Terminate",N69)</f>
        <v>Very Good</v>
      </c>
      <c r="R69" s="18">
        <f t="shared" ref="R69:R132" si="7">IF(N69="Very Good",P69*5%,P69)</f>
        <v>5158.6245000000008</v>
      </c>
      <c r="S69" s="15" t="str">
        <f t="shared" ref="S69:S132" si="8">IF(P69&lt;40000,"Low",IF(AND(P69&gt;40000,P69&lt;=80000),"Mid",IF(P69&gt;80000,"High",P69)))</f>
        <v>High</v>
      </c>
      <c r="T69" s="25" t="str">
        <f t="shared" ref="T69:T132" si="9">IF(AND(L69="HR",I69="MUMBAI"),"Work From Home",L69)</f>
        <v>FINANCE</v>
      </c>
      <c r="U69" s="24" t="str">
        <f t="shared" ref="U69:U132" si="10">IF(OR(L69="HR",L69="FINANCE"),"Work From Home",L69)</f>
        <v>Work From Home</v>
      </c>
      <c r="V69" s="20">
        <f t="shared" ref="V69:V132" si="11">IF(N69="Very Good",P69+P69*15%,IF(N69="Good",P69+P69*12%,IF(N69="Average",P69+P69*10%,"Not Applicable")))</f>
        <v>118648.36350000001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15" t="str">
        <f t="shared" si="6"/>
        <v>Good</v>
      </c>
      <c r="R70" s="18">
        <f t="shared" si="7"/>
        <v>93077.55</v>
      </c>
      <c r="S70" s="15" t="str">
        <f t="shared" si="8"/>
        <v>High</v>
      </c>
      <c r="T70" s="25" t="str">
        <f t="shared" si="9"/>
        <v>PRODUCTION</v>
      </c>
      <c r="U70" s="24" t="str">
        <f t="shared" si="10"/>
        <v>PRODUCTION</v>
      </c>
      <c r="V70" s="20">
        <f t="shared" si="11"/>
        <v>104246.856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15" t="str">
        <f t="shared" si="6"/>
        <v>Average</v>
      </c>
      <c r="R71" s="18">
        <f t="shared" si="7"/>
        <v>100762.74</v>
      </c>
      <c r="S71" s="15" t="str">
        <f t="shared" si="8"/>
        <v>High</v>
      </c>
      <c r="T71" s="25" t="str">
        <f t="shared" si="9"/>
        <v>FINANCE</v>
      </c>
      <c r="U71" s="24" t="str">
        <f t="shared" si="10"/>
        <v>Work From Home</v>
      </c>
      <c r="V71" s="20">
        <f t="shared" si="11"/>
        <v>110839.01400000001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15" t="str">
        <f t="shared" si="6"/>
        <v>Not Rated</v>
      </c>
      <c r="R72" s="18">
        <f t="shared" si="7"/>
        <v>110257.92</v>
      </c>
      <c r="S72" s="15" t="str">
        <f t="shared" si="8"/>
        <v>High</v>
      </c>
      <c r="T72" s="25" t="str">
        <f t="shared" si="9"/>
        <v>PRODUCTION</v>
      </c>
      <c r="U72" s="24" t="str">
        <f t="shared" si="10"/>
        <v>PRODUCTION</v>
      </c>
      <c r="V72" s="20" t="str">
        <f t="shared" si="11"/>
        <v>Not Applicable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15" t="str">
        <f t="shared" si="6"/>
        <v>Terminate</v>
      </c>
      <c r="R73" s="18">
        <f t="shared" si="7"/>
        <v>112790.07</v>
      </c>
      <c r="S73" s="15" t="str">
        <f t="shared" si="8"/>
        <v>High</v>
      </c>
      <c r="T73" s="25" t="str">
        <f t="shared" si="9"/>
        <v>PRODUCTION</v>
      </c>
      <c r="U73" s="24" t="str">
        <f t="shared" si="10"/>
        <v>PRODUCTION</v>
      </c>
      <c r="V73" s="20" t="str">
        <f t="shared" si="11"/>
        <v>Not Applicable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15" t="str">
        <f t="shared" si="6"/>
        <v>Not Rated</v>
      </c>
      <c r="R74" s="18">
        <f t="shared" si="7"/>
        <v>100504.17</v>
      </c>
      <c r="S74" s="15" t="str">
        <f t="shared" si="8"/>
        <v>High</v>
      </c>
      <c r="T74" s="25" t="str">
        <f t="shared" si="9"/>
        <v>PRODUCTION</v>
      </c>
      <c r="U74" s="24" t="str">
        <f t="shared" si="10"/>
        <v>PRODUCTION</v>
      </c>
      <c r="V74" s="20" t="str">
        <f t="shared" si="11"/>
        <v>Not Applicable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15" t="str">
        <f t="shared" si="6"/>
        <v>Not Rated</v>
      </c>
      <c r="R75" s="18">
        <f t="shared" si="7"/>
        <v>61839.540000000008</v>
      </c>
      <c r="S75" s="15" t="str">
        <f t="shared" si="8"/>
        <v>Mid</v>
      </c>
      <c r="T75" s="25" t="str">
        <f t="shared" si="9"/>
        <v>ADMIN</v>
      </c>
      <c r="U75" s="24" t="str">
        <f t="shared" si="10"/>
        <v>ADMIN</v>
      </c>
      <c r="V75" s="20" t="str">
        <f t="shared" si="11"/>
        <v>Not Applicable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15" t="str">
        <f t="shared" si="6"/>
        <v>Good</v>
      </c>
      <c r="R76" s="18">
        <f t="shared" si="7"/>
        <v>35257.32</v>
      </c>
      <c r="S76" s="15" t="str">
        <f t="shared" si="8"/>
        <v>Low</v>
      </c>
      <c r="T76" s="25" t="str">
        <f t="shared" si="9"/>
        <v>ADMIN</v>
      </c>
      <c r="U76" s="24" t="str">
        <f t="shared" si="10"/>
        <v>ADMIN</v>
      </c>
      <c r="V76" s="20">
        <f t="shared" si="11"/>
        <v>39488.198400000001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15" t="str">
        <f t="shared" si="6"/>
        <v>Not Rated</v>
      </c>
      <c r="R77" s="18">
        <f t="shared" si="7"/>
        <v>32315.129999999997</v>
      </c>
      <c r="S77" s="15" t="str">
        <f t="shared" si="8"/>
        <v>Low</v>
      </c>
      <c r="T77" s="25" t="str">
        <f t="shared" si="9"/>
        <v>ADMIN</v>
      </c>
      <c r="U77" s="24" t="str">
        <f t="shared" si="10"/>
        <v>ADMIN</v>
      </c>
      <c r="V77" s="20" t="str">
        <f t="shared" si="11"/>
        <v>Not Applicable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15" t="str">
        <f t="shared" si="6"/>
        <v>Good</v>
      </c>
      <c r="R78" s="18">
        <f t="shared" si="7"/>
        <v>28753.29</v>
      </c>
      <c r="S78" s="15" t="str">
        <f t="shared" si="8"/>
        <v>Low</v>
      </c>
      <c r="T78" s="25" t="str">
        <f t="shared" si="9"/>
        <v>ADMIN</v>
      </c>
      <c r="U78" s="24" t="str">
        <f t="shared" si="10"/>
        <v>ADMIN</v>
      </c>
      <c r="V78" s="20">
        <f t="shared" si="11"/>
        <v>32203.684800000003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15" t="str">
        <f t="shared" si="6"/>
        <v>Terminate</v>
      </c>
      <c r="R79" s="18">
        <f t="shared" si="7"/>
        <v>149624.82</v>
      </c>
      <c r="S79" s="15" t="str">
        <f t="shared" si="8"/>
        <v>High</v>
      </c>
      <c r="T79" s="25" t="str">
        <f t="shared" si="9"/>
        <v>PRODUCTION</v>
      </c>
      <c r="U79" s="24" t="str">
        <f t="shared" si="10"/>
        <v>PRODUCTION</v>
      </c>
      <c r="V79" s="20" t="str">
        <f t="shared" si="11"/>
        <v>Not Applicable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15" t="str">
        <f t="shared" si="6"/>
        <v>Very Good</v>
      </c>
      <c r="R80" s="18">
        <f t="shared" si="7"/>
        <v>2128.9950000000003</v>
      </c>
      <c r="S80" s="15" t="str">
        <f t="shared" si="8"/>
        <v>Mid</v>
      </c>
      <c r="T80" s="25" t="str">
        <f t="shared" si="9"/>
        <v>HR</v>
      </c>
      <c r="U80" s="24" t="str">
        <f t="shared" si="10"/>
        <v>Work From Home</v>
      </c>
      <c r="V80" s="20">
        <f t="shared" si="11"/>
        <v>48966.885000000002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15" t="str">
        <f t="shared" si="6"/>
        <v>Terminate</v>
      </c>
      <c r="R81" s="18">
        <f t="shared" si="7"/>
        <v>117337.23000000001</v>
      </c>
      <c r="S81" s="15" t="str">
        <f t="shared" si="8"/>
        <v>High</v>
      </c>
      <c r="T81" s="25" t="str">
        <f t="shared" si="9"/>
        <v>MARKETING</v>
      </c>
      <c r="U81" s="24" t="str">
        <f t="shared" si="10"/>
        <v>MARKETING</v>
      </c>
      <c r="V81" s="20" t="str">
        <f t="shared" si="11"/>
        <v>Not Applicable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15" t="str">
        <f t="shared" si="6"/>
        <v>Terminate</v>
      </c>
      <c r="R82" s="18">
        <f t="shared" si="7"/>
        <v>101379.33000000002</v>
      </c>
      <c r="S82" s="15" t="str">
        <f t="shared" si="8"/>
        <v>High</v>
      </c>
      <c r="T82" s="25" t="str">
        <f t="shared" si="9"/>
        <v>MARKETING</v>
      </c>
      <c r="U82" s="24" t="str">
        <f t="shared" si="10"/>
        <v>MARKETING</v>
      </c>
      <c r="V82" s="20" t="str">
        <f t="shared" si="11"/>
        <v>Not Applicable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15" t="str">
        <f t="shared" si="6"/>
        <v>Very Good</v>
      </c>
      <c r="R83" s="18">
        <f t="shared" si="7"/>
        <v>4191.8175000000001</v>
      </c>
      <c r="S83" s="15" t="str">
        <f t="shared" si="8"/>
        <v>High</v>
      </c>
      <c r="T83" s="25" t="str">
        <f t="shared" si="9"/>
        <v>FINANCE</v>
      </c>
      <c r="U83" s="24" t="str">
        <f t="shared" si="10"/>
        <v>Work From Home</v>
      </c>
      <c r="V83" s="20">
        <f t="shared" si="11"/>
        <v>96411.802500000005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15" t="str">
        <f t="shared" si="6"/>
        <v>Poor</v>
      </c>
      <c r="R84" s="18">
        <f t="shared" si="7"/>
        <v>114570.99</v>
      </c>
      <c r="S84" s="15" t="str">
        <f t="shared" si="8"/>
        <v>High</v>
      </c>
      <c r="T84" s="25" t="str">
        <f t="shared" si="9"/>
        <v>PRODUCTION</v>
      </c>
      <c r="U84" s="24" t="str">
        <f t="shared" si="10"/>
        <v>PRODUCTION</v>
      </c>
      <c r="V84" s="20" t="str">
        <f t="shared" si="11"/>
        <v>Not Applicable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15" t="str">
        <f t="shared" si="6"/>
        <v>Good</v>
      </c>
      <c r="R85" s="18">
        <f t="shared" si="7"/>
        <v>136824.84</v>
      </c>
      <c r="S85" s="15" t="str">
        <f t="shared" si="8"/>
        <v>High</v>
      </c>
      <c r="T85" s="25" t="str">
        <f t="shared" si="9"/>
        <v>FINANCE</v>
      </c>
      <c r="U85" s="24" t="str">
        <f t="shared" si="10"/>
        <v>Work From Home</v>
      </c>
      <c r="V85" s="20">
        <f t="shared" si="11"/>
        <v>153243.82079999999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15" t="str">
        <f t="shared" si="6"/>
        <v>Average</v>
      </c>
      <c r="R86" s="18">
        <f t="shared" si="7"/>
        <v>38282.130000000005</v>
      </c>
      <c r="S86" s="15" t="str">
        <f t="shared" si="8"/>
        <v>Low</v>
      </c>
      <c r="T86" s="25" t="str">
        <f t="shared" si="9"/>
        <v>ADMIN</v>
      </c>
      <c r="U86" s="24" t="str">
        <f t="shared" si="10"/>
        <v>ADMIN</v>
      </c>
      <c r="V86" s="20">
        <f t="shared" si="11"/>
        <v>42110.343000000008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15" t="str">
        <f t="shared" si="6"/>
        <v>Good</v>
      </c>
      <c r="R87" s="18">
        <f t="shared" si="7"/>
        <v>78140.160000000003</v>
      </c>
      <c r="S87" s="15" t="str">
        <f t="shared" si="8"/>
        <v>Mid</v>
      </c>
      <c r="T87" s="25" t="str">
        <f t="shared" si="9"/>
        <v>HR</v>
      </c>
      <c r="U87" s="24" t="str">
        <f t="shared" si="10"/>
        <v>Work From Home</v>
      </c>
      <c r="V87" s="20">
        <f t="shared" si="11"/>
        <v>87516.979200000002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15" t="str">
        <f t="shared" si="6"/>
        <v>Good</v>
      </c>
      <c r="R88" s="18">
        <f t="shared" si="7"/>
        <v>110069.73000000001</v>
      </c>
      <c r="S88" s="15" t="str">
        <f t="shared" si="8"/>
        <v>High</v>
      </c>
      <c r="T88" s="25" t="str">
        <f t="shared" si="9"/>
        <v>ADMIN</v>
      </c>
      <c r="U88" s="24" t="str">
        <f t="shared" si="10"/>
        <v>ADMIN</v>
      </c>
      <c r="V88" s="20">
        <f t="shared" si="11"/>
        <v>123278.09760000001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15" t="str">
        <f t="shared" si="6"/>
        <v>Poor</v>
      </c>
      <c r="R89" s="18">
        <f t="shared" si="7"/>
        <v>95602.05</v>
      </c>
      <c r="S89" s="15" t="str">
        <f t="shared" si="8"/>
        <v>High</v>
      </c>
      <c r="T89" s="25" t="str">
        <f t="shared" si="9"/>
        <v>FINANCE</v>
      </c>
      <c r="U89" s="24" t="str">
        <f t="shared" si="10"/>
        <v>Work From Home</v>
      </c>
      <c r="V89" s="20" t="str">
        <f t="shared" si="11"/>
        <v>Not Applicable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15" t="str">
        <f t="shared" si="6"/>
        <v>Average</v>
      </c>
      <c r="R90" s="18">
        <f t="shared" si="7"/>
        <v>49235.399999999994</v>
      </c>
      <c r="S90" s="15" t="str">
        <f t="shared" si="8"/>
        <v>Mid</v>
      </c>
      <c r="T90" s="25" t="str">
        <f t="shared" si="9"/>
        <v>ADMIN</v>
      </c>
      <c r="U90" s="24" t="str">
        <f t="shared" si="10"/>
        <v>ADMIN</v>
      </c>
      <c r="V90" s="20">
        <f t="shared" si="11"/>
        <v>54158.939999999995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15" t="str">
        <f t="shared" si="6"/>
        <v>Terminate</v>
      </c>
      <c r="R91" s="18">
        <f t="shared" si="7"/>
        <v>140360.66999999998</v>
      </c>
      <c r="S91" s="15" t="str">
        <f t="shared" si="8"/>
        <v>High</v>
      </c>
      <c r="T91" s="25" t="str">
        <f t="shared" si="9"/>
        <v>HR</v>
      </c>
      <c r="U91" s="24" t="str">
        <f t="shared" si="10"/>
        <v>Work From Home</v>
      </c>
      <c r="V91" s="20" t="str">
        <f t="shared" si="11"/>
        <v>Not Applicable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15" t="str">
        <f t="shared" si="6"/>
        <v>Poor</v>
      </c>
      <c r="R92" s="18" t="str">
        <f t="shared" si="7"/>
        <v/>
      </c>
      <c r="S92" s="15" t="str">
        <f t="shared" si="8"/>
        <v>High</v>
      </c>
      <c r="T92" s="25" t="str">
        <f t="shared" si="9"/>
        <v>ADMIN</v>
      </c>
      <c r="U92" s="24" t="str">
        <f t="shared" si="10"/>
        <v>ADMIN</v>
      </c>
      <c r="V92" s="20" t="str">
        <f t="shared" si="11"/>
        <v>Not Applicable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15" t="str">
        <f t="shared" si="6"/>
        <v>Terminate</v>
      </c>
      <c r="R93" s="18" t="str">
        <f t="shared" si="7"/>
        <v/>
      </c>
      <c r="S93" s="15" t="str">
        <f t="shared" si="8"/>
        <v>High</v>
      </c>
      <c r="T93" s="25" t="str">
        <f t="shared" si="9"/>
        <v>MARKETING</v>
      </c>
      <c r="U93" s="24" t="str">
        <f t="shared" si="10"/>
        <v>MARKETING</v>
      </c>
      <c r="V93" s="20" t="str">
        <f t="shared" si="11"/>
        <v>Not Applicable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15" t="str">
        <f t="shared" si="6"/>
        <v>Not Rated</v>
      </c>
      <c r="R94" s="18">
        <f t="shared" si="7"/>
        <v>78179.94</v>
      </c>
      <c r="S94" s="15" t="str">
        <f t="shared" si="8"/>
        <v>Mid</v>
      </c>
      <c r="T94" s="25" t="str">
        <f t="shared" si="9"/>
        <v>MARKETING</v>
      </c>
      <c r="U94" s="24" t="str">
        <f t="shared" si="10"/>
        <v>MARKETING</v>
      </c>
      <c r="V94" s="20" t="str">
        <f t="shared" si="11"/>
        <v>Not Applicable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15" t="str">
        <f t="shared" si="6"/>
        <v>Not Rated</v>
      </c>
      <c r="R95" s="18">
        <f t="shared" si="7"/>
        <v>32815.440000000002</v>
      </c>
      <c r="S95" s="15" t="str">
        <f t="shared" si="8"/>
        <v>Low</v>
      </c>
      <c r="T95" s="25" t="str">
        <f t="shared" si="9"/>
        <v>FINANCE</v>
      </c>
      <c r="U95" s="24" t="str">
        <f t="shared" si="10"/>
        <v>Work From Home</v>
      </c>
      <c r="V95" s="20" t="str">
        <f t="shared" si="11"/>
        <v>Not Applicable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15" t="str">
        <f t="shared" si="6"/>
        <v>Poor</v>
      </c>
      <c r="R96" s="18">
        <f t="shared" si="7"/>
        <v>84205.08</v>
      </c>
      <c r="S96" s="15" t="str">
        <f t="shared" si="8"/>
        <v>High</v>
      </c>
      <c r="T96" s="25" t="str">
        <f t="shared" si="9"/>
        <v>HR</v>
      </c>
      <c r="U96" s="24" t="str">
        <f t="shared" si="10"/>
        <v>Work From Home</v>
      </c>
      <c r="V96" s="20" t="str">
        <f t="shared" si="11"/>
        <v>Not Applicable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15" t="str">
        <f t="shared" si="6"/>
        <v>Terminate</v>
      </c>
      <c r="R97" s="18">
        <f t="shared" si="7"/>
        <v>145350</v>
      </c>
      <c r="S97" s="15" t="str">
        <f t="shared" si="8"/>
        <v>High</v>
      </c>
      <c r="T97" s="25" t="str">
        <f t="shared" si="9"/>
        <v>FINANCE</v>
      </c>
      <c r="U97" s="24" t="str">
        <f t="shared" si="10"/>
        <v>Work From Home</v>
      </c>
      <c r="V97" s="20" t="str">
        <f t="shared" si="11"/>
        <v>Not Applicable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15" t="str">
        <f t="shared" si="6"/>
        <v>Very Good</v>
      </c>
      <c r="R98" s="18">
        <f t="shared" si="7"/>
        <v>2896.9020000000005</v>
      </c>
      <c r="S98" s="15" t="str">
        <f t="shared" si="8"/>
        <v>Mid</v>
      </c>
      <c r="T98" s="25" t="str">
        <f t="shared" si="9"/>
        <v>PRODUCTION</v>
      </c>
      <c r="U98" s="24" t="str">
        <f t="shared" si="10"/>
        <v>PRODUCTION</v>
      </c>
      <c r="V98" s="20">
        <f t="shared" si="11"/>
        <v>66628.746000000014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15" t="str">
        <f t="shared" si="6"/>
        <v>Very Good</v>
      </c>
      <c r="R99" s="18">
        <f t="shared" si="7"/>
        <v>5546.7855000000009</v>
      </c>
      <c r="S99" s="15" t="str">
        <f t="shared" si="8"/>
        <v>High</v>
      </c>
      <c r="T99" s="25" t="str">
        <f t="shared" si="9"/>
        <v>MARKETING</v>
      </c>
      <c r="U99" s="24" t="str">
        <f t="shared" si="10"/>
        <v>MARKETING</v>
      </c>
      <c r="V99" s="20">
        <f t="shared" si="11"/>
        <v>127576.06650000002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15" t="str">
        <f t="shared" si="6"/>
        <v>Terminate</v>
      </c>
      <c r="R100" s="18">
        <f t="shared" si="7"/>
        <v>121739.04</v>
      </c>
      <c r="S100" s="15" t="str">
        <f t="shared" si="8"/>
        <v>High</v>
      </c>
      <c r="T100" s="25" t="str">
        <f t="shared" si="9"/>
        <v>PRODUCTION</v>
      </c>
      <c r="U100" s="24" t="str">
        <f t="shared" si="10"/>
        <v>PRODUCTION</v>
      </c>
      <c r="V100" s="20" t="str">
        <f t="shared" si="11"/>
        <v>Not Applicable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15" t="str">
        <f t="shared" si="6"/>
        <v>Terminate</v>
      </c>
      <c r="R101" s="18">
        <f t="shared" si="7"/>
        <v>134748.63</v>
      </c>
      <c r="S101" s="15" t="str">
        <f t="shared" si="8"/>
        <v>High</v>
      </c>
      <c r="T101" s="25" t="str">
        <f t="shared" si="9"/>
        <v>FINANCE</v>
      </c>
      <c r="U101" s="24" t="str">
        <f t="shared" si="10"/>
        <v>Work From Home</v>
      </c>
      <c r="V101" s="20" t="str">
        <f t="shared" si="11"/>
        <v>Not Applicable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15" t="str">
        <f t="shared" si="6"/>
        <v>Very Good</v>
      </c>
      <c r="R102" s="18">
        <f t="shared" si="7"/>
        <v>6426.1530000000002</v>
      </c>
      <c r="S102" s="15" t="str">
        <f t="shared" si="8"/>
        <v>High</v>
      </c>
      <c r="T102" s="25" t="str">
        <f t="shared" si="9"/>
        <v>Work From Home</v>
      </c>
      <c r="U102" s="24" t="str">
        <f t="shared" si="10"/>
        <v>Work From Home</v>
      </c>
      <c r="V102" s="20">
        <f t="shared" si="11"/>
        <v>147801.519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15" t="str">
        <f t="shared" si="6"/>
        <v>Poor</v>
      </c>
      <c r="R103" s="18">
        <f t="shared" si="7"/>
        <v>36677.160000000003</v>
      </c>
      <c r="S103" s="15" t="str">
        <f t="shared" si="8"/>
        <v>Low</v>
      </c>
      <c r="T103" s="25" t="str">
        <f t="shared" si="9"/>
        <v>HR</v>
      </c>
      <c r="U103" s="24" t="str">
        <f t="shared" si="10"/>
        <v>Work From Home</v>
      </c>
      <c r="V103" s="20" t="str">
        <f t="shared" si="11"/>
        <v>Not Applicable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15" t="str">
        <f t="shared" si="6"/>
        <v>Terminate</v>
      </c>
      <c r="R104" s="18">
        <f t="shared" si="7"/>
        <v>91633.23000000001</v>
      </c>
      <c r="S104" s="15" t="str">
        <f t="shared" si="8"/>
        <v>High</v>
      </c>
      <c r="T104" s="25" t="str">
        <f t="shared" si="9"/>
        <v>PRODUCTION</v>
      </c>
      <c r="U104" s="24" t="str">
        <f t="shared" si="10"/>
        <v>PRODUCTION</v>
      </c>
      <c r="V104" s="20" t="str">
        <f t="shared" si="11"/>
        <v>Not Applicable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15" t="str">
        <f t="shared" si="6"/>
        <v>Poor</v>
      </c>
      <c r="R105" s="18">
        <f t="shared" si="7"/>
        <v>101186.54999999999</v>
      </c>
      <c r="S105" s="15" t="str">
        <f t="shared" si="8"/>
        <v>High</v>
      </c>
      <c r="T105" s="25" t="str">
        <f t="shared" si="9"/>
        <v>ADMIN</v>
      </c>
      <c r="U105" s="24" t="str">
        <f t="shared" si="10"/>
        <v>ADMIN</v>
      </c>
      <c r="V105" s="20" t="str">
        <f t="shared" si="11"/>
        <v>Not Applicable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15" t="str">
        <f t="shared" si="6"/>
        <v>Good</v>
      </c>
      <c r="R106" s="18">
        <f t="shared" si="7"/>
        <v>61951.23</v>
      </c>
      <c r="S106" s="15" t="str">
        <f t="shared" si="8"/>
        <v>Mid</v>
      </c>
      <c r="T106" s="25" t="str">
        <f t="shared" si="9"/>
        <v>HR</v>
      </c>
      <c r="U106" s="24" t="str">
        <f t="shared" si="10"/>
        <v>Work From Home</v>
      </c>
      <c r="V106" s="20">
        <f t="shared" si="11"/>
        <v>69385.377600000007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15" t="str">
        <f t="shared" si="6"/>
        <v>Very Good</v>
      </c>
      <c r="R107" s="18">
        <f t="shared" si="7"/>
        <v>1896.1290000000001</v>
      </c>
      <c r="S107" s="15" t="str">
        <f t="shared" si="8"/>
        <v>Low</v>
      </c>
      <c r="T107" s="25" t="str">
        <f t="shared" si="9"/>
        <v>ADMIN</v>
      </c>
      <c r="U107" s="24" t="str">
        <f t="shared" si="10"/>
        <v>ADMIN</v>
      </c>
      <c r="V107" s="20">
        <f t="shared" si="11"/>
        <v>43610.967000000004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15" t="str">
        <f t="shared" si="6"/>
        <v>Not Rated</v>
      </c>
      <c r="R108" s="18">
        <f t="shared" si="7"/>
        <v>43826.85</v>
      </c>
      <c r="S108" s="15" t="str">
        <f t="shared" si="8"/>
        <v>Mid</v>
      </c>
      <c r="T108" s="25" t="str">
        <f t="shared" si="9"/>
        <v>Work From Home</v>
      </c>
      <c r="U108" s="24" t="str">
        <f t="shared" si="10"/>
        <v>Work From Home</v>
      </c>
      <c r="V108" s="20" t="str">
        <f t="shared" si="11"/>
        <v>Not Applicable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15" t="str">
        <f t="shared" si="6"/>
        <v>Terminate</v>
      </c>
      <c r="R109" s="18">
        <f t="shared" si="7"/>
        <v>47947.14</v>
      </c>
      <c r="S109" s="15" t="str">
        <f t="shared" si="8"/>
        <v>Mid</v>
      </c>
      <c r="T109" s="25" t="str">
        <f t="shared" si="9"/>
        <v>HR</v>
      </c>
      <c r="U109" s="24" t="str">
        <f t="shared" si="10"/>
        <v>Work From Home</v>
      </c>
      <c r="V109" s="20" t="str">
        <f t="shared" si="11"/>
        <v>Not Applicable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15" t="str">
        <f t="shared" si="6"/>
        <v>Good</v>
      </c>
      <c r="R110" s="18">
        <f t="shared" si="7"/>
        <v>81620.91</v>
      </c>
      <c r="S110" s="15" t="str">
        <f t="shared" si="8"/>
        <v>High</v>
      </c>
      <c r="T110" s="25" t="str">
        <f t="shared" si="9"/>
        <v>ADMIN</v>
      </c>
      <c r="U110" s="24" t="str">
        <f t="shared" si="10"/>
        <v>ADMIN</v>
      </c>
      <c r="V110" s="20">
        <f t="shared" si="11"/>
        <v>91415.419200000004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15" t="str">
        <f t="shared" si="6"/>
        <v>Poor</v>
      </c>
      <c r="R111" s="18">
        <f t="shared" si="7"/>
        <v>38396.880000000005</v>
      </c>
      <c r="S111" s="15" t="str">
        <f t="shared" si="8"/>
        <v>Low</v>
      </c>
      <c r="T111" s="25" t="str">
        <f t="shared" si="9"/>
        <v>FINANCE</v>
      </c>
      <c r="U111" s="24" t="str">
        <f t="shared" si="10"/>
        <v>Work From Home</v>
      </c>
      <c r="V111" s="20" t="str">
        <f t="shared" si="11"/>
        <v>Not Applicable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15" t="str">
        <f t="shared" si="6"/>
        <v>Good</v>
      </c>
      <c r="R112" s="18">
        <f t="shared" si="7"/>
        <v>67194.540000000008</v>
      </c>
      <c r="S112" s="15" t="str">
        <f t="shared" si="8"/>
        <v>Mid</v>
      </c>
      <c r="T112" s="25" t="str">
        <f t="shared" si="9"/>
        <v>PRODUCTION</v>
      </c>
      <c r="U112" s="24" t="str">
        <f t="shared" si="10"/>
        <v>PRODUCTION</v>
      </c>
      <c r="V112" s="20">
        <f t="shared" si="11"/>
        <v>75257.884800000014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15" t="str">
        <f t="shared" si="6"/>
        <v>Very Good</v>
      </c>
      <c r="R113" s="18">
        <f t="shared" si="7"/>
        <v>4398.9030000000002</v>
      </c>
      <c r="S113" s="15" t="str">
        <f t="shared" si="8"/>
        <v>High</v>
      </c>
      <c r="T113" s="25" t="str">
        <f t="shared" si="9"/>
        <v>PRODUCTION</v>
      </c>
      <c r="U113" s="24" t="str">
        <f t="shared" si="10"/>
        <v>PRODUCTION</v>
      </c>
      <c r="V113" s="20">
        <f t="shared" si="11"/>
        <v>101174.769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15" t="str">
        <f t="shared" si="6"/>
        <v>Average</v>
      </c>
      <c r="R114" s="18" t="str">
        <f t="shared" si="7"/>
        <v/>
      </c>
      <c r="S114" s="15" t="str">
        <f t="shared" si="8"/>
        <v>High</v>
      </c>
      <c r="T114" s="25" t="str">
        <f t="shared" si="9"/>
        <v>ADMIN</v>
      </c>
      <c r="U114" s="24" t="str">
        <f t="shared" si="10"/>
        <v>ADMIN</v>
      </c>
      <c r="V114" s="20" t="e">
        <f t="shared" si="11"/>
        <v>#VALUE!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15" t="str">
        <f t="shared" si="6"/>
        <v>Very Good</v>
      </c>
      <c r="R115" s="18">
        <f t="shared" si="7"/>
        <v>5393.25</v>
      </c>
      <c r="S115" s="15" t="str">
        <f t="shared" si="8"/>
        <v>High</v>
      </c>
      <c r="T115" s="25" t="str">
        <f t="shared" si="9"/>
        <v>PRODUCTION</v>
      </c>
      <c r="U115" s="24" t="str">
        <f t="shared" si="10"/>
        <v>PRODUCTION</v>
      </c>
      <c r="V115" s="20">
        <f t="shared" si="11"/>
        <v>124044.75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15" t="str">
        <f t="shared" si="6"/>
        <v>Average</v>
      </c>
      <c r="R116" s="18">
        <f t="shared" si="7"/>
        <v>37130.04</v>
      </c>
      <c r="S116" s="15" t="str">
        <f t="shared" si="8"/>
        <v>Low</v>
      </c>
      <c r="T116" s="25" t="str">
        <f t="shared" si="9"/>
        <v>HR</v>
      </c>
      <c r="U116" s="24" t="str">
        <f t="shared" si="10"/>
        <v>Work From Home</v>
      </c>
      <c r="V116" s="20">
        <f t="shared" si="11"/>
        <v>40843.044000000002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15" t="str">
        <f t="shared" si="6"/>
        <v>Not Rated</v>
      </c>
      <c r="R117" s="18">
        <f t="shared" si="7"/>
        <v>150091.47</v>
      </c>
      <c r="S117" s="15" t="str">
        <f t="shared" si="8"/>
        <v>High</v>
      </c>
      <c r="T117" s="25" t="str">
        <f t="shared" si="9"/>
        <v>ADMIN</v>
      </c>
      <c r="U117" s="24" t="str">
        <f t="shared" si="10"/>
        <v>ADMIN</v>
      </c>
      <c r="V117" s="20" t="str">
        <f t="shared" si="11"/>
        <v>Not Applicable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15" t="str">
        <f t="shared" si="6"/>
        <v>Very Good</v>
      </c>
      <c r="R118" s="18">
        <f t="shared" si="7"/>
        <v>6618.4740000000011</v>
      </c>
      <c r="S118" s="15" t="str">
        <f t="shared" si="8"/>
        <v>High</v>
      </c>
      <c r="T118" s="25" t="str">
        <f t="shared" si="9"/>
        <v>MARKETING</v>
      </c>
      <c r="U118" s="24" t="str">
        <f t="shared" si="10"/>
        <v>MARKETING</v>
      </c>
      <c r="V118" s="20">
        <f t="shared" si="11"/>
        <v>152224.902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15" t="str">
        <f t="shared" si="6"/>
        <v>Terminate</v>
      </c>
      <c r="R119" s="18">
        <f t="shared" si="7"/>
        <v>122568.29999999999</v>
      </c>
      <c r="S119" s="15" t="str">
        <f t="shared" si="8"/>
        <v>High</v>
      </c>
      <c r="T119" s="25" t="str">
        <f t="shared" si="9"/>
        <v>FINANCE</v>
      </c>
      <c r="U119" s="24" t="str">
        <f t="shared" si="10"/>
        <v>Work From Home</v>
      </c>
      <c r="V119" s="20" t="str">
        <f t="shared" si="11"/>
        <v>Not Applicable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15" t="str">
        <f t="shared" si="6"/>
        <v>Average</v>
      </c>
      <c r="R120" s="18">
        <f t="shared" si="7"/>
        <v>58692.33</v>
      </c>
      <c r="S120" s="15" t="str">
        <f t="shared" si="8"/>
        <v>Mid</v>
      </c>
      <c r="T120" s="25" t="str">
        <f t="shared" si="9"/>
        <v>ADMIN</v>
      </c>
      <c r="U120" s="24" t="str">
        <f t="shared" si="10"/>
        <v>ADMIN</v>
      </c>
      <c r="V120" s="20">
        <f t="shared" si="11"/>
        <v>64561.563000000002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15" t="str">
        <f t="shared" si="6"/>
        <v>Not Rated</v>
      </c>
      <c r="R121" s="18">
        <f t="shared" si="7"/>
        <v>32305.949999999997</v>
      </c>
      <c r="S121" s="15" t="str">
        <f t="shared" si="8"/>
        <v>Low</v>
      </c>
      <c r="T121" s="25" t="str">
        <f t="shared" si="9"/>
        <v>HR</v>
      </c>
      <c r="U121" s="24" t="str">
        <f t="shared" si="10"/>
        <v>Work From Home</v>
      </c>
      <c r="V121" s="20" t="str">
        <f t="shared" si="11"/>
        <v>Not Applicable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15" t="str">
        <f t="shared" si="6"/>
        <v>Not Rated</v>
      </c>
      <c r="R122" s="18">
        <f t="shared" si="7"/>
        <v>91016.639999999999</v>
      </c>
      <c r="S122" s="15" t="str">
        <f t="shared" si="8"/>
        <v>High</v>
      </c>
      <c r="T122" s="25" t="str">
        <f t="shared" si="9"/>
        <v>FINANCE</v>
      </c>
      <c r="U122" s="24" t="str">
        <f t="shared" si="10"/>
        <v>Work From Home</v>
      </c>
      <c r="V122" s="20" t="str">
        <f t="shared" si="11"/>
        <v>Not Applicable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15" t="str">
        <f t="shared" si="6"/>
        <v>Terminate</v>
      </c>
      <c r="R123" s="18">
        <f t="shared" si="7"/>
        <v>148439.07</v>
      </c>
      <c r="S123" s="15" t="str">
        <f t="shared" si="8"/>
        <v>High</v>
      </c>
      <c r="T123" s="25" t="str">
        <f t="shared" si="9"/>
        <v>PRODUCTION</v>
      </c>
      <c r="U123" s="24" t="str">
        <f t="shared" si="10"/>
        <v>PRODUCTION</v>
      </c>
      <c r="V123" s="20" t="str">
        <f t="shared" si="11"/>
        <v>Not Applicable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15" t="str">
        <f t="shared" si="6"/>
        <v>Not Rated</v>
      </c>
      <c r="R124" s="18">
        <f t="shared" si="7"/>
        <v>102918.51</v>
      </c>
      <c r="S124" s="15" t="str">
        <f t="shared" si="8"/>
        <v>High</v>
      </c>
      <c r="T124" s="25" t="str">
        <f t="shared" si="9"/>
        <v>MARKETING</v>
      </c>
      <c r="U124" s="24" t="str">
        <f t="shared" si="10"/>
        <v>MARKETING</v>
      </c>
      <c r="V124" s="20" t="str">
        <f t="shared" si="11"/>
        <v>Not Applicable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15" t="str">
        <f t="shared" si="6"/>
        <v>Average</v>
      </c>
      <c r="R125" s="18">
        <f t="shared" si="7"/>
        <v>22373.190000000002</v>
      </c>
      <c r="S125" s="15" t="str">
        <f t="shared" si="8"/>
        <v>Low</v>
      </c>
      <c r="T125" s="25" t="str">
        <f t="shared" si="9"/>
        <v>HR</v>
      </c>
      <c r="U125" s="24" t="str">
        <f t="shared" si="10"/>
        <v>Work From Home</v>
      </c>
      <c r="V125" s="20">
        <f t="shared" si="11"/>
        <v>24610.509000000002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15" t="str">
        <f t="shared" si="6"/>
        <v>Average</v>
      </c>
      <c r="R126" s="18">
        <f t="shared" si="7"/>
        <v>55508.399999999994</v>
      </c>
      <c r="S126" s="15" t="str">
        <f t="shared" si="8"/>
        <v>Mid</v>
      </c>
      <c r="T126" s="25" t="str">
        <f t="shared" si="9"/>
        <v>PRODUCTION</v>
      </c>
      <c r="U126" s="24" t="str">
        <f t="shared" si="10"/>
        <v>PRODUCTION</v>
      </c>
      <c r="V126" s="20">
        <f t="shared" si="11"/>
        <v>61059.239999999991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15" t="str">
        <f t="shared" si="6"/>
        <v>Poor</v>
      </c>
      <c r="R127" s="18">
        <f t="shared" si="7"/>
        <v>66253.59</v>
      </c>
      <c r="S127" s="15" t="str">
        <f t="shared" si="8"/>
        <v>Mid</v>
      </c>
      <c r="T127" s="25" t="str">
        <f t="shared" si="9"/>
        <v>MARKETING</v>
      </c>
      <c r="U127" s="24" t="str">
        <f t="shared" si="10"/>
        <v>MARKETING</v>
      </c>
      <c r="V127" s="20" t="str">
        <f t="shared" si="11"/>
        <v>Not Applicable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15" t="str">
        <f t="shared" si="6"/>
        <v>Average</v>
      </c>
      <c r="R128" s="18">
        <f t="shared" si="7"/>
        <v>81022.679999999993</v>
      </c>
      <c r="S128" s="15" t="str">
        <f t="shared" si="8"/>
        <v>High</v>
      </c>
      <c r="T128" s="25" t="str">
        <f t="shared" si="9"/>
        <v>HR</v>
      </c>
      <c r="U128" s="24" t="str">
        <f t="shared" si="10"/>
        <v>Work From Home</v>
      </c>
      <c r="V128" s="20">
        <f t="shared" si="11"/>
        <v>89124.947999999989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15" t="str">
        <f t="shared" si="6"/>
        <v>Poor</v>
      </c>
      <c r="R129" s="18">
        <f t="shared" si="7"/>
        <v>147721.5</v>
      </c>
      <c r="S129" s="15" t="str">
        <f t="shared" si="8"/>
        <v>High</v>
      </c>
      <c r="T129" s="25" t="str">
        <f t="shared" si="9"/>
        <v>ADMIN</v>
      </c>
      <c r="U129" s="24" t="str">
        <f t="shared" si="10"/>
        <v>ADMIN</v>
      </c>
      <c r="V129" s="20" t="str">
        <f t="shared" si="11"/>
        <v>Not Applicable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15" t="str">
        <f t="shared" si="6"/>
        <v>Not Rated</v>
      </c>
      <c r="R130" s="18">
        <f t="shared" si="7"/>
        <v>45846.45</v>
      </c>
      <c r="S130" s="15" t="str">
        <f t="shared" si="8"/>
        <v>Mid</v>
      </c>
      <c r="T130" s="25" t="str">
        <f t="shared" si="9"/>
        <v>Work From Home</v>
      </c>
      <c r="U130" s="24" t="str">
        <f t="shared" si="10"/>
        <v>Work From Home</v>
      </c>
      <c r="V130" s="20" t="str">
        <f t="shared" si="11"/>
        <v>Not Applicable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15" t="str">
        <f t="shared" si="6"/>
        <v>Terminate</v>
      </c>
      <c r="R131" s="18">
        <f t="shared" si="7"/>
        <v>128578.14000000001</v>
      </c>
      <c r="S131" s="15" t="str">
        <f t="shared" si="8"/>
        <v>High</v>
      </c>
      <c r="T131" s="25" t="str">
        <f t="shared" si="9"/>
        <v>FINANCE</v>
      </c>
      <c r="U131" s="24" t="str">
        <f t="shared" si="10"/>
        <v>Work From Home</v>
      </c>
      <c r="V131" s="20" t="str">
        <f t="shared" si="11"/>
        <v>Not Applicable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15" t="str">
        <f t="shared" si="6"/>
        <v>Not Rated</v>
      </c>
      <c r="R132" s="18">
        <f t="shared" si="7"/>
        <v>33078.6</v>
      </c>
      <c r="S132" s="15" t="str">
        <f t="shared" si="8"/>
        <v>Low</v>
      </c>
      <c r="T132" s="25" t="str">
        <f t="shared" si="9"/>
        <v>PRODUCTION</v>
      </c>
      <c r="U132" s="24" t="str">
        <f t="shared" si="10"/>
        <v>PRODUCTION</v>
      </c>
      <c r="V132" s="20" t="str">
        <f t="shared" si="11"/>
        <v>Not Applicable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15" t="str">
        <f t="shared" ref="Q133:Q149" si="12">IF(N133="Very Poor","Terminate",N133)</f>
        <v>Good</v>
      </c>
      <c r="R133" s="18">
        <f t="shared" ref="R133:R149" si="13">IF(N133="Very Good",P133*5%,P133)</f>
        <v>49243.05</v>
      </c>
      <c r="S133" s="15" t="str">
        <f t="shared" ref="S133:S149" si="14">IF(P133&lt;40000,"Low",IF(AND(P133&gt;40000,P133&lt;=80000),"Mid",IF(P133&gt;80000,"High",P133)))</f>
        <v>Mid</v>
      </c>
      <c r="T133" s="25" t="str">
        <f t="shared" ref="T133:T149" si="15">IF(AND(L133="HR",I133="MUMBAI"),"Work From Home",L133)</f>
        <v>ADMIN</v>
      </c>
      <c r="U133" s="24" t="str">
        <f t="shared" ref="U133:U149" si="16">IF(OR(L133="HR",L133="FINANCE"),"Work From Home",L133)</f>
        <v>ADMIN</v>
      </c>
      <c r="V133" s="20">
        <f t="shared" ref="V133:V149" si="17">IF(N133="Very Good",P133+P133*15%,IF(N133="Good",P133+P133*12%,IF(N133="Average",P133+P133*10%,"Not Applicable")))</f>
        <v>55152.216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15" t="str">
        <f t="shared" si="12"/>
        <v>Average</v>
      </c>
      <c r="R134" s="18">
        <f t="shared" si="13"/>
        <v>41283.990000000005</v>
      </c>
      <c r="S134" s="15" t="str">
        <f t="shared" si="14"/>
        <v>Mid</v>
      </c>
      <c r="T134" s="25" t="str">
        <f t="shared" si="15"/>
        <v>PRODUCTION</v>
      </c>
      <c r="U134" s="24" t="str">
        <f t="shared" si="16"/>
        <v>PRODUCTION</v>
      </c>
      <c r="V134" s="20">
        <f t="shared" si="17"/>
        <v>45412.389000000003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15" t="str">
        <f t="shared" si="12"/>
        <v>Average</v>
      </c>
      <c r="R135" s="18">
        <f t="shared" si="13"/>
        <v>47567.7</v>
      </c>
      <c r="S135" s="15" t="str">
        <f t="shared" si="14"/>
        <v>Mid</v>
      </c>
      <c r="T135" s="25" t="str">
        <f t="shared" si="15"/>
        <v>FINANCE</v>
      </c>
      <c r="U135" s="24" t="str">
        <f t="shared" si="16"/>
        <v>Work From Home</v>
      </c>
      <c r="V135" s="20">
        <f t="shared" si="17"/>
        <v>52324.469999999994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15" t="str">
        <f t="shared" si="12"/>
        <v>Very Good</v>
      </c>
      <c r="R136" s="18">
        <f t="shared" si="13"/>
        <v>2767.1580000000004</v>
      </c>
      <c r="S136" s="15" t="str">
        <f t="shared" si="14"/>
        <v>Mid</v>
      </c>
      <c r="T136" s="25" t="str">
        <f t="shared" si="15"/>
        <v>FINANCE</v>
      </c>
      <c r="U136" s="24" t="str">
        <f t="shared" si="16"/>
        <v>Work From Home</v>
      </c>
      <c r="V136" s="20">
        <f t="shared" si="17"/>
        <v>63644.634000000005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15" t="str">
        <f t="shared" si="12"/>
        <v>Very Good</v>
      </c>
      <c r="R137" s="18">
        <f t="shared" si="13"/>
        <v>5416.0469999999996</v>
      </c>
      <c r="S137" s="15" t="str">
        <f t="shared" si="14"/>
        <v>High</v>
      </c>
      <c r="T137" s="25" t="str">
        <f t="shared" si="15"/>
        <v>MARKETING</v>
      </c>
      <c r="U137" s="24" t="str">
        <f t="shared" si="16"/>
        <v>MARKETING</v>
      </c>
      <c r="V137" s="20">
        <f t="shared" si="17"/>
        <v>124569.08099999999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15" t="str">
        <f t="shared" si="12"/>
        <v>Good</v>
      </c>
      <c r="R138" s="18">
        <f t="shared" si="13"/>
        <v>139760.91</v>
      </c>
      <c r="S138" s="15" t="str">
        <f t="shared" si="14"/>
        <v>High</v>
      </c>
      <c r="T138" s="25" t="str">
        <f t="shared" si="15"/>
        <v>HR</v>
      </c>
      <c r="U138" s="24" t="str">
        <f t="shared" si="16"/>
        <v>Work From Home</v>
      </c>
      <c r="V138" s="20">
        <f t="shared" si="17"/>
        <v>156532.21919999999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15" t="str">
        <f t="shared" si="12"/>
        <v>Not Rated</v>
      </c>
      <c r="R139" s="18">
        <f t="shared" si="13"/>
        <v>18314.099999999999</v>
      </c>
      <c r="S139" s="15" t="str">
        <f t="shared" si="14"/>
        <v>Low</v>
      </c>
      <c r="T139" s="25" t="str">
        <f t="shared" si="15"/>
        <v>MARKETING</v>
      </c>
      <c r="U139" s="24" t="str">
        <f t="shared" si="16"/>
        <v>MARKETING</v>
      </c>
      <c r="V139" s="20" t="str">
        <f t="shared" si="17"/>
        <v>Not Applicable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15" t="str">
        <f t="shared" si="12"/>
        <v>Poor</v>
      </c>
      <c r="R140" s="18">
        <f t="shared" si="13"/>
        <v>99801.9</v>
      </c>
      <c r="S140" s="15" t="str">
        <f t="shared" si="14"/>
        <v>High</v>
      </c>
      <c r="T140" s="25" t="str">
        <f t="shared" si="15"/>
        <v>PRODUCTION</v>
      </c>
      <c r="U140" s="24" t="str">
        <f t="shared" si="16"/>
        <v>PRODUCTION</v>
      </c>
      <c r="V140" s="20" t="str">
        <f t="shared" si="17"/>
        <v>Not Applicable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15" t="str">
        <f t="shared" si="12"/>
        <v>Good</v>
      </c>
      <c r="R141" s="18">
        <f t="shared" si="13"/>
        <v>117266.85</v>
      </c>
      <c r="S141" s="15" t="str">
        <f t="shared" si="14"/>
        <v>High</v>
      </c>
      <c r="T141" s="25" t="str">
        <f t="shared" si="15"/>
        <v>FINANCE</v>
      </c>
      <c r="U141" s="24" t="str">
        <f t="shared" si="16"/>
        <v>Work From Home</v>
      </c>
      <c r="V141" s="20">
        <f t="shared" si="17"/>
        <v>131338.872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15" t="str">
        <f t="shared" si="12"/>
        <v>Poor</v>
      </c>
      <c r="R142" s="18">
        <f t="shared" si="13"/>
        <v>82194.66</v>
      </c>
      <c r="S142" s="15" t="str">
        <f t="shared" si="14"/>
        <v>High</v>
      </c>
      <c r="T142" s="25" t="str">
        <f t="shared" si="15"/>
        <v>ADMIN</v>
      </c>
      <c r="U142" s="24" t="str">
        <f t="shared" si="16"/>
        <v>ADMIN</v>
      </c>
      <c r="V142" s="20" t="str">
        <f t="shared" si="17"/>
        <v>Not Applicable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15" t="str">
        <f t="shared" si="12"/>
        <v>Terminate</v>
      </c>
      <c r="R143" s="18">
        <f t="shared" si="13"/>
        <v>62942.67</v>
      </c>
      <c r="S143" s="15" t="str">
        <f t="shared" si="14"/>
        <v>Mid</v>
      </c>
      <c r="T143" s="25" t="str">
        <f t="shared" si="15"/>
        <v>PRODUCTION</v>
      </c>
      <c r="U143" s="24" t="str">
        <f t="shared" si="16"/>
        <v>PRODUCTION</v>
      </c>
      <c r="V143" s="20" t="str">
        <f t="shared" si="17"/>
        <v>Not Applicable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15" t="str">
        <f t="shared" si="12"/>
        <v>Very Good</v>
      </c>
      <c r="R144" s="18">
        <f t="shared" si="13"/>
        <v>6622.2225000000008</v>
      </c>
      <c r="S144" s="15" t="str">
        <f t="shared" si="14"/>
        <v>High</v>
      </c>
      <c r="T144" s="25" t="str">
        <f t="shared" si="15"/>
        <v>PRODUCTION</v>
      </c>
      <c r="U144" s="24" t="str">
        <f t="shared" si="16"/>
        <v>PRODUCTION</v>
      </c>
      <c r="V144" s="20">
        <f t="shared" si="17"/>
        <v>152311.11750000002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15" t="str">
        <f t="shared" si="12"/>
        <v>Not Rated</v>
      </c>
      <c r="R145" s="18">
        <f t="shared" si="13"/>
        <v>104584.68</v>
      </c>
      <c r="S145" s="15" t="str">
        <f t="shared" si="14"/>
        <v>High</v>
      </c>
      <c r="T145" s="25" t="str">
        <f t="shared" si="15"/>
        <v>MARKETING</v>
      </c>
      <c r="U145" s="24" t="str">
        <f t="shared" si="16"/>
        <v>MARKETING</v>
      </c>
      <c r="V145" s="20" t="str">
        <f t="shared" si="17"/>
        <v>Not Applicable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15" t="str">
        <f t="shared" si="12"/>
        <v>Not Rated</v>
      </c>
      <c r="R146" s="18">
        <f t="shared" si="13"/>
        <v>64116.18</v>
      </c>
      <c r="S146" s="15" t="str">
        <f t="shared" si="14"/>
        <v>Mid</v>
      </c>
      <c r="T146" s="25" t="str">
        <f t="shared" si="15"/>
        <v>HR</v>
      </c>
      <c r="U146" s="24" t="str">
        <f t="shared" si="16"/>
        <v>Work From Home</v>
      </c>
      <c r="V146" s="20" t="str">
        <f t="shared" si="17"/>
        <v>Not Applicable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15" t="str">
        <f t="shared" si="12"/>
        <v>Not Rated</v>
      </c>
      <c r="R147" s="18">
        <f t="shared" si="13"/>
        <v>27693</v>
      </c>
      <c r="S147" s="15" t="str">
        <f t="shared" si="14"/>
        <v>Low</v>
      </c>
      <c r="T147" s="25" t="str">
        <f t="shared" si="15"/>
        <v>ADMIN</v>
      </c>
      <c r="U147" s="24" t="str">
        <f t="shared" si="16"/>
        <v>ADMIN</v>
      </c>
      <c r="V147" s="20" t="str">
        <f t="shared" si="17"/>
        <v>Not Applicable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15" t="str">
        <f t="shared" si="12"/>
        <v>Average</v>
      </c>
      <c r="R148" s="18">
        <f t="shared" si="13"/>
        <v>111855.24</v>
      </c>
      <c r="S148" s="15" t="str">
        <f t="shared" si="14"/>
        <v>High</v>
      </c>
      <c r="T148" s="25" t="str">
        <f t="shared" si="15"/>
        <v>FINANCE</v>
      </c>
      <c r="U148" s="24" t="str">
        <f t="shared" si="16"/>
        <v>Work From Home</v>
      </c>
      <c r="V148" s="20">
        <f t="shared" si="17"/>
        <v>123040.76400000001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15" t="str">
        <f t="shared" si="12"/>
        <v>Not Rated</v>
      </c>
      <c r="R149" s="18" t="str">
        <f t="shared" si="13"/>
        <v/>
      </c>
      <c r="S149" s="15" t="str">
        <f t="shared" si="14"/>
        <v>High</v>
      </c>
      <c r="T149" s="25" t="str">
        <f t="shared" si="15"/>
        <v>Work From Home</v>
      </c>
      <c r="U149" s="24" t="str">
        <f t="shared" si="16"/>
        <v>Work From Home</v>
      </c>
      <c r="V149" s="20" t="str">
        <f t="shared" si="17"/>
        <v>Not Applicable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21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21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21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21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21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21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21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21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21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21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21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21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21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21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21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21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21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21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21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21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21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21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21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21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21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21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21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21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21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21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21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21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21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21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21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21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21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21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21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21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21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21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21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21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21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21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21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21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21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21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21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21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21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21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21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21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21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21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21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21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21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21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21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21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21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21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21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21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21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21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21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21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21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21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21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21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21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21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21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21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21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21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21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21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21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21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21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21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21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21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21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21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21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21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21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21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21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21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21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21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21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21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21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21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21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21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21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21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21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21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21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21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21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21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21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21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21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21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21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21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21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21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21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21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21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21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21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21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21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21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21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21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21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21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21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21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21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21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21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21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21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21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21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21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21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21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21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21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21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21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21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21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21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21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21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21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21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21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21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21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21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21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21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21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21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21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21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21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21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21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21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21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21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21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21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21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21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21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21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21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21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21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21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21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21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21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21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21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21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21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21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21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21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21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21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21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21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21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21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21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21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21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21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21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21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21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21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21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21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21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21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21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21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21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21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21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21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21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21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21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21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21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21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21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21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21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21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21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21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21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21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21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21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21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21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21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21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21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21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21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21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21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21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21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21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21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21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21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21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21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21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21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21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21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21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21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1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1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1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1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1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1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1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1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1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1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1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1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1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1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21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21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21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21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21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21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21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21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21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21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21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21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1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21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21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21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21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21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21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21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21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21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21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21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21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21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21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21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21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21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21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21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21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21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21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21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21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21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21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21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21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21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21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21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21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21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21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21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21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21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21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21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21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21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21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21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21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21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21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21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21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21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21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21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21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21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21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21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21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21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21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21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21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21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21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21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21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21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21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21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21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21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21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21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21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21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21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21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21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21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21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21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21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21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21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21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21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21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21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21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21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21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21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21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21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21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21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21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21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21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21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21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21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21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21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21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21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21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21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21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21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21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21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21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21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21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21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21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21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21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21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21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21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21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21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21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21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21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21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21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21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21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21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21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21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21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21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21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21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21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21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21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21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21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21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21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21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21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21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21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21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21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21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21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21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21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21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21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21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21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21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21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21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21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21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21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21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21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21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21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21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21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21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21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21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21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21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21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21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21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21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21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21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21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21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21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21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21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21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21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21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21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21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21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21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21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21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21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21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21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21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21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21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21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21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21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21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21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21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21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21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21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21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21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21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21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21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21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21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21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21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21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21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21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21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21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21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21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21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21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21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21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21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21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21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21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21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21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21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21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21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21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21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21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21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21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21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21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21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21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21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21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21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21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21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21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21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21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21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21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21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21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21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21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21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21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21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21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21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21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21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21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21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21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21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21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21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21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21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21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21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21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21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21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21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21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21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21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21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21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21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21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21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21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21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21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21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21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21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21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21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21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21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21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21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21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21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21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21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21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21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21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21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21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21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21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21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21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21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21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21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21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21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21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21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21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21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21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21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21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21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21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21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21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21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21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21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21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21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21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21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21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21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21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21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21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21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21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21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21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21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21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21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21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21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21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21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21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21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21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21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21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21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21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21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21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21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21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21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21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21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21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21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21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21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21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21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21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21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21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21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21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21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21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21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21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21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21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21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21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21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21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21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21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21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21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21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21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21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21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21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21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21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21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21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21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21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21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21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21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21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21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21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21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21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21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21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21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21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21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21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21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21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21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21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21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21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21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21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21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21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21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21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21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21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21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21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21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21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21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21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21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21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21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21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21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21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21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21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21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21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21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21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21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21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21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21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21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21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21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21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21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21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21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21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21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21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21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21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21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21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21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21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21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21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21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21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21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21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21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21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21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21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21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21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21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21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21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21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21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21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21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21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21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21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21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21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21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21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21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21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21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21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21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21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21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21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21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21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21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21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21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21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21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21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21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21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21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21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21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21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21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21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21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21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21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21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21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21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21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21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21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21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21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21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21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21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21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21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21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21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21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21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21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21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21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21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21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21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21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21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21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21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21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21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21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21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21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21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21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21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21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21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21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21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21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21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21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21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21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21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Nikhil Parate</cp:lastModifiedBy>
  <dcterms:created xsi:type="dcterms:W3CDTF">2021-07-08T13:51:18Z</dcterms:created>
  <dcterms:modified xsi:type="dcterms:W3CDTF">2026-02-02T11:44:24Z</dcterms:modified>
</cp:coreProperties>
</file>